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Цикл" sheetId="1" r:id="rId5"/>
    <sheet state="visible" name="Упражнение" sheetId="2" r:id="rId6"/>
    <sheet state="visible" name="Справка" sheetId="3" r:id="rId7"/>
  </sheets>
  <definedNames/>
  <calcPr/>
</workbook>
</file>

<file path=xl/sharedStrings.xml><?xml version="1.0" encoding="utf-8"?>
<sst xmlns="http://schemas.openxmlformats.org/spreadsheetml/2006/main" count="614" uniqueCount="98">
  <si>
    <t>Микроцикл 1</t>
  </si>
  <si>
    <t>Дата</t>
  </si>
  <si>
    <t>Нагрузка</t>
  </si>
  <si>
    <t>Упражнения</t>
  </si>
  <si>
    <t>Коэф. воздействия на организм(одно-/много - суставное упражнение)</t>
  </si>
  <si>
    <t>Множ</t>
  </si>
  <si>
    <t>Вес</t>
  </si>
  <si>
    <t>Пов</t>
  </si>
  <si>
    <t>Под</t>
  </si>
  <si>
    <t xml:space="preserve">% </t>
  </si>
  <si>
    <t>Тоннаж</t>
  </si>
  <si>
    <t>Сред.вес</t>
  </si>
  <si>
    <t>Инт.Отн</t>
  </si>
  <si>
    <t>ПМ</t>
  </si>
  <si>
    <t>Инт. Фунт</t>
  </si>
  <si>
    <t>КПШ</t>
  </si>
  <si>
    <t>Время</t>
  </si>
  <si>
    <t>Пн</t>
  </si>
  <si>
    <t>Средняя</t>
  </si>
  <si>
    <t>Ягодичный мост со штангой</t>
  </si>
  <si>
    <t>Легкая</t>
  </si>
  <si>
    <t>Болгарские выпады</t>
  </si>
  <si>
    <t>Разведение ног в тренажёре</t>
  </si>
  <si>
    <t>Тяжелая</t>
  </si>
  <si>
    <t>Присед</t>
  </si>
  <si>
    <t>Жим гантелей вверх</t>
  </si>
  <si>
    <t>Разведение гантелей в стороны</t>
  </si>
  <si>
    <t>Разгибание рук на блоке</t>
  </si>
  <si>
    <t>Ср</t>
  </si>
  <si>
    <t>Румынская тяга</t>
  </si>
  <si>
    <t>Выпады назад</t>
  </si>
  <si>
    <t>Отведение ноги назад</t>
  </si>
  <si>
    <t>Тяга верхнего блока</t>
  </si>
  <si>
    <t>Тяга горизонтального блока</t>
  </si>
  <si>
    <t>Разведения в тренажёре на заднюю дельту</t>
  </si>
  <si>
    <t>Сгибания рук с гантелями</t>
  </si>
  <si>
    <t>Пт</t>
  </si>
  <si>
    <t>Ягодичный мост</t>
  </si>
  <si>
    <t>Зашагивания на платформу</t>
  </si>
  <si>
    <t>Разведение ног</t>
  </si>
  <si>
    <t>Жим гантелй лежа</t>
  </si>
  <si>
    <t>Ходьба выпадами</t>
  </si>
  <si>
    <t>Гиперэкстензия на ягодицы</t>
  </si>
  <si>
    <t>Скручивания (пресс)</t>
  </si>
  <si>
    <t>Чт</t>
  </si>
  <si>
    <t>Микроцикл 2</t>
  </si>
  <si>
    <t>Коэф. тяжести (одно-/много - суставное упражнение)</t>
  </si>
  <si>
    <t>Микроцикл 3</t>
  </si>
  <si>
    <t>Микроцикл 4</t>
  </si>
  <si>
    <t>Микроцикл 5</t>
  </si>
  <si>
    <t xml:space="preserve"> </t>
  </si>
  <si>
    <t>Микроцикл 6</t>
  </si>
  <si>
    <t>Микроцикл 7</t>
  </si>
  <si>
    <t>Микроцикл 8</t>
  </si>
  <si>
    <t>Микроцикл 9</t>
  </si>
  <si>
    <t>Микроцикл 10</t>
  </si>
  <si>
    <t>Микроцикл 11</t>
  </si>
  <si>
    <t>Микроцикл 12</t>
  </si>
  <si>
    <t>Инт.O</t>
  </si>
  <si>
    <t/>
  </si>
  <si>
    <t>Автор</t>
  </si>
  <si>
    <t xml:space="preserve">Бондаренко Дмитрий </t>
  </si>
  <si>
    <t>http://vk.com/sk1men</t>
  </si>
  <si>
    <t>Головинский Дмитрий</t>
  </si>
  <si>
    <t>http://vk.com/1astmanstanding</t>
  </si>
  <si>
    <t>Группа ВК</t>
  </si>
  <si>
    <t>http://vk.com/lastmanstand1ng</t>
  </si>
  <si>
    <t>Ctrl+q</t>
  </si>
  <si>
    <t>Очистка данных в рамках одного микроцикла в листе "5 в неделю" (установить курсор на вес первого упражнения микроцикла)</t>
  </si>
  <si>
    <t>Ctrl+y</t>
  </si>
  <si>
    <t>Вывод данных по одному упражнению в листе "5 в неделю" (установить курсор на название упражнения)</t>
  </si>
  <si>
    <t>Ctrl+u</t>
  </si>
  <si>
    <t>Скрытие тренировочного дня  в листе "5 в неделю" (установить курсор в любое место первой строки тренировочного дня)</t>
  </si>
  <si>
    <t>Саморасчитывающийся цикл под массонаборный период атлета культуриста</t>
  </si>
  <si>
    <t>Требования к атлету (см. инструкцию):</t>
  </si>
  <si>
    <t>1. Уровень спортсмена средний (тренировочный стаж не менее 3 лет)</t>
  </si>
  <si>
    <t>2. Вес тела спортсмена 80 кг или более;</t>
  </si>
  <si>
    <t>3. Ориентация на набор чистой мышечной массы</t>
  </si>
  <si>
    <t>4. Соблюдение спортивного режима (диета богатая белком и сложными углеводами);</t>
  </si>
  <si>
    <t>5. Отсутствие хронических заболеваний;</t>
  </si>
  <si>
    <t>6. Достаточный гормональный уровень.</t>
  </si>
  <si>
    <t>1 Выключить фоновое обнаружение ошибок (Файл-Параметры-Формулы-Обнаружение ошибок (снять галку))</t>
  </si>
  <si>
    <t>2 Включить поддержку макросов</t>
  </si>
  <si>
    <t>Показатели</t>
  </si>
  <si>
    <t>Средний вес вычисляется как отношение тоннажа и КПШ</t>
  </si>
  <si>
    <t>Интенсивность относительная вычисляется отношением среднего веса штанги и ПМ атлета в данном упражнении</t>
  </si>
  <si>
    <t>Интенсивность относительная за тренировку вычисляется по методу А. В. Черняка</t>
  </si>
  <si>
    <t>Интенсивность по Г. Фунтикову расчитывается по соответствующему методу с правками Д. Бондаренко, учитывающими нагруженность упражнения</t>
  </si>
  <si>
    <t>Время на тренировку расчитывается по методу Д. Бондаренко</t>
  </si>
  <si>
    <t>Процент корректировки:</t>
  </si>
  <si>
    <t>ПКТ</t>
  </si>
  <si>
    <t>Без ААС</t>
  </si>
  <si>
    <t>Курс ААС из орального препарата соло</t>
  </si>
  <si>
    <t>Курс из 2 препаратов (малые дозировки)</t>
  </si>
  <si>
    <t>-0,4 - 0,1</t>
  </si>
  <si>
    <t>0,2 - 0,5</t>
  </si>
  <si>
    <t>0,4 - 0,7</t>
  </si>
  <si>
    <t>0,6-1,1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</si>
</sst>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28">
    <font>
      <sz val="11.0"/>
      <color theme="1"/>
      <name val="Calibri"/>
      <scheme val="minor"/>
    </font>
    <font>
      <b/>
      <sz val="7.0"/>
      <color theme="0"/>
      <name val="Calibri"/>
    </font>
    <font/>
    <font>
      <b/>
      <sz val="7.0"/>
      <color theme="1"/>
      <name val="Calibri"/>
    </font>
    <font>
      <sz val="7.0"/>
      <color theme="0"/>
      <name val="Calibri"/>
    </font>
    <font>
      <sz val="11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7.0"/>
      <color rgb="FFFA7D00"/>
      <name val="Calibri"/>
    </font>
    <font>
      <sz val="7.0"/>
      <color theme="1"/>
      <name val="Calibri"/>
    </font>
    <font>
      <sz val="7.0"/>
      <color rgb="FF3F3F3F"/>
      <name val="Calibri"/>
    </font>
    <font>
      <b/>
      <sz val="11.0"/>
      <color rgb="FFFA7D00"/>
      <name val="Calibri"/>
    </font>
    <font>
      <sz val="11.0"/>
      <color rgb="FFFF0000"/>
      <name val="Calibri"/>
    </font>
    <font>
      <b/>
      <sz val="11.0"/>
      <color rgb="FF1F497D"/>
      <name val="Calibri"/>
    </font>
    <font>
      <b/>
      <sz val="7.0"/>
      <color rgb="FF3F3F3F"/>
      <name val="Calibri"/>
    </font>
    <font>
      <b/>
      <sz val="7.0"/>
      <color rgb="FFFF0000"/>
      <name val="Calibri"/>
    </font>
    <font>
      <sz val="16.0"/>
      <color theme="1"/>
      <name val="Calibri"/>
    </font>
    <font>
      <sz val="16.0"/>
      <color theme="0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sz val="11.0"/>
      <color rgb="FFC6D9F0"/>
      <name val="Calibri"/>
    </font>
    <font>
      <sz val="11.0"/>
      <color rgb="FF3F3F3F"/>
      <name val="Calibri"/>
    </font>
    <font>
      <b/>
      <sz val="11.0"/>
      <color rgb="FF3F3F3F"/>
      <name val="Calibri"/>
    </font>
    <font>
      <b/>
      <sz val="11.0"/>
      <color rgb="FFFF0000"/>
      <name val="Calibri"/>
    </font>
    <font>
      <b/>
      <sz val="12.0"/>
      <color theme="0"/>
      <name val="Calibri"/>
    </font>
    <font>
      <b/>
      <u/>
      <sz val="11.0"/>
      <color theme="10"/>
      <name val="Calibri"/>
    </font>
    <font>
      <i/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002060"/>
        <bgColor rgb="FF002060"/>
      </patternFill>
    </fill>
  </fills>
  <borders count="5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3F3F3F"/>
      </left>
      <right style="thin">
        <color rgb="FF3F3F3F"/>
      </right>
      <top style="medium">
        <color rgb="FF000000"/>
      </top>
      <bottom style="thin">
        <color rgb="FF3F3F3F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3F3F3F"/>
      </right>
      <top style="thin">
        <color rgb="FF3F3F3F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thin">
        <color rgb="FF3F3F3F"/>
      </top>
      <bottom style="medium">
        <color rgb="FF000000"/>
      </bottom>
    </border>
    <border>
      <left/>
      <right/>
      <top style="thin">
        <color rgb="FF3F3F3F"/>
      </top>
      <bottom style="medium">
        <color rgb="FF000000"/>
      </bottom>
    </border>
    <border>
      <left/>
      <right style="medium">
        <color rgb="FF000000"/>
      </right>
      <top style="thin">
        <color rgb="FF3F3F3F"/>
      </top>
      <bottom style="medium">
        <color rgb="FF000000"/>
      </bottom>
    </border>
    <border>
      <left/>
      <right/>
      <top style="thin">
        <color rgb="FF7F7F7F"/>
      </top>
      <bottom style="medium">
        <color rgb="FF000000"/>
      </bottom>
    </border>
    <border>
      <left style="thin">
        <color rgb="FF7F7F7F"/>
      </left>
      <right style="thin">
        <color rgb="FF7F7F7F"/>
      </right>
      <top/>
      <bottom style="medium">
        <color rgb="FF000000"/>
      </bottom>
    </border>
    <border>
      <left style="thin">
        <color rgb="FF7F7F7F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2" fontId="3" numFmtId="1" xfId="0" applyAlignment="1" applyBorder="1" applyFont="1" applyNumberFormat="1">
      <alignment vertical="top"/>
    </xf>
    <xf borderId="4" fillId="2" fontId="3" numFmtId="164" xfId="0" applyAlignment="1" applyBorder="1" applyFont="1" applyNumberFormat="1">
      <alignment vertical="top"/>
    </xf>
    <xf borderId="4" fillId="2" fontId="4" numFmtId="1" xfId="0" applyAlignment="1" applyBorder="1" applyFont="1" applyNumberFormat="1">
      <alignment vertical="top"/>
    </xf>
    <xf borderId="4" fillId="2" fontId="1" numFmtId="164" xfId="0" applyAlignment="1" applyBorder="1" applyFont="1" applyNumberFormat="1">
      <alignment vertical="top"/>
    </xf>
    <xf borderId="5" fillId="2" fontId="3" numFmtId="20" xfId="0" applyAlignment="1" applyBorder="1" applyFont="1" applyNumberFormat="1">
      <alignment vertical="top"/>
    </xf>
    <xf borderId="0" fillId="0" fontId="5" numFmtId="0" xfId="0" applyFont="1"/>
    <xf borderId="6" fillId="3" fontId="6" numFmtId="0" xfId="0" applyAlignment="1" applyBorder="1" applyFill="1" applyFont="1">
      <alignment horizontal="left"/>
    </xf>
    <xf borderId="7" fillId="3" fontId="6" numFmtId="0" xfId="0" applyAlignment="1" applyBorder="1" applyFont="1">
      <alignment horizontal="left" vertical="top"/>
    </xf>
    <xf borderId="8" fillId="3" fontId="6" numFmtId="9" xfId="0" applyAlignment="1" applyBorder="1" applyFont="1" applyNumberFormat="1">
      <alignment horizontal="left" vertical="top"/>
    </xf>
    <xf borderId="6" fillId="3" fontId="6" numFmtId="0" xfId="0" applyAlignment="1" applyBorder="1" applyFont="1">
      <alignment horizontal="left" vertical="top"/>
    </xf>
    <xf borderId="0" fillId="0" fontId="7" numFmtId="0" xfId="0" applyAlignment="1" applyFont="1">
      <alignment horizontal="center" vertical="center"/>
    </xf>
    <xf borderId="9" fillId="4" fontId="1" numFmtId="0" xfId="0" applyAlignment="1" applyBorder="1" applyFill="1" applyFont="1">
      <alignment horizontal="center" vertical="top"/>
    </xf>
    <xf borderId="7" fillId="4" fontId="1" numFmtId="0" xfId="0" applyAlignment="1" applyBorder="1" applyFont="1">
      <alignment horizontal="center" vertical="top"/>
    </xf>
    <xf borderId="10" fillId="4" fontId="1" numFmtId="0" xfId="0" applyAlignment="1" applyBorder="1" applyFont="1">
      <alignment horizontal="center" vertical="top"/>
    </xf>
    <xf borderId="7" fillId="4" fontId="1" numFmtId="0" xfId="0" applyAlignment="1" applyBorder="1" applyFont="1">
      <alignment horizontal="left" vertical="top"/>
    </xf>
    <xf borderId="11" fillId="5" fontId="8" numFmtId="164" xfId="0" applyAlignment="1" applyBorder="1" applyFill="1" applyFont="1" applyNumberFormat="1">
      <alignment horizontal="center" vertical="top"/>
    </xf>
    <xf borderId="12" fillId="4" fontId="1" numFmtId="0" xfId="0" applyAlignment="1" applyBorder="1" applyFont="1">
      <alignment horizontal="left" vertical="top"/>
    </xf>
    <xf borderId="13" fillId="4" fontId="1" numFmtId="0" xfId="0" applyAlignment="1" applyBorder="1" applyFont="1">
      <alignment horizontal="center" vertical="top"/>
    </xf>
    <xf borderId="6" fillId="6" fontId="6" numFmtId="0" xfId="0" applyAlignment="1" applyBorder="1" applyFill="1" applyFont="1">
      <alignment horizontal="left" vertical="top"/>
    </xf>
    <xf borderId="7" fillId="6" fontId="6" numFmtId="0" xfId="0" applyAlignment="1" applyBorder="1" applyFont="1">
      <alignment horizontal="left" vertical="top"/>
    </xf>
    <xf borderId="8" fillId="6" fontId="6" numFmtId="9" xfId="0" applyAlignment="1" applyBorder="1" applyFont="1" applyNumberFormat="1">
      <alignment horizontal="left" vertical="top"/>
    </xf>
    <xf borderId="0" fillId="0" fontId="7" numFmtId="0" xfId="0" applyAlignment="1" applyFont="1">
      <alignment horizontal="center"/>
    </xf>
    <xf borderId="14" fillId="6" fontId="3" numFmtId="14" xfId="0" applyAlignment="1" applyBorder="1" applyFont="1" applyNumberFormat="1">
      <alignment vertical="top"/>
    </xf>
    <xf borderId="14" fillId="6" fontId="9" numFmtId="0" xfId="0" applyAlignment="1" applyBorder="1" applyFont="1">
      <alignment vertical="top"/>
    </xf>
    <xf borderId="15" fillId="6" fontId="3" numFmtId="0" xfId="0" applyAlignment="1" applyBorder="1" applyFont="1">
      <alignment readingOrder="0" vertical="top"/>
    </xf>
    <xf borderId="16" fillId="5" fontId="10" numFmtId="164" xfId="0" applyAlignment="1" applyBorder="1" applyFont="1" applyNumberFormat="1">
      <alignment horizontal="left" vertical="top"/>
    </xf>
    <xf borderId="17" fillId="6" fontId="9" numFmtId="0" xfId="0" applyAlignment="1" applyBorder="1" applyFont="1">
      <alignment horizontal="left" vertical="top"/>
    </xf>
    <xf borderId="18" fillId="6" fontId="9" numFmtId="0" xfId="0" applyAlignment="1" applyBorder="1" applyFont="1">
      <alignment horizontal="left" vertical="top"/>
    </xf>
    <xf borderId="4" fillId="6" fontId="9" numFmtId="0" xfId="0" applyAlignment="1" applyBorder="1" applyFont="1">
      <alignment horizontal="left" vertical="top"/>
    </xf>
    <xf borderId="17" fillId="6" fontId="9" numFmtId="9" xfId="0" applyAlignment="1" applyBorder="1" applyFont="1" applyNumberFormat="1">
      <alignment horizontal="left" vertical="top"/>
    </xf>
    <xf borderId="4" fillId="6" fontId="9" numFmtId="9" xfId="0" applyAlignment="1" applyBorder="1" applyFont="1" applyNumberFormat="1">
      <alignment horizontal="left" vertical="top"/>
    </xf>
    <xf borderId="14" fillId="6" fontId="9" numFmtId="0" xfId="0" applyAlignment="1" applyBorder="1" applyFont="1">
      <alignment horizontal="left" vertical="top"/>
    </xf>
    <xf borderId="4" fillId="6" fontId="9" numFmtId="1" xfId="0" applyAlignment="1" applyBorder="1" applyFont="1" applyNumberFormat="1">
      <alignment horizontal="left" vertical="top"/>
    </xf>
    <xf borderId="19" fillId="5" fontId="8" numFmtId="164" xfId="0" applyAlignment="1" applyBorder="1" applyFont="1" applyNumberFormat="1">
      <alignment horizontal="center" vertical="top"/>
    </xf>
    <xf borderId="5" fillId="6" fontId="9" numFmtId="1" xfId="0" applyAlignment="1" applyBorder="1" applyFont="1" applyNumberFormat="1">
      <alignment horizontal="left" vertical="top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vertical="top"/>
    </xf>
    <xf borderId="0" fillId="0" fontId="5" numFmtId="9" xfId="0" applyAlignment="1" applyFont="1" applyNumberFormat="1">
      <alignment horizontal="left"/>
    </xf>
    <xf borderId="0" fillId="0" fontId="11" numFmtId="0" xfId="0" applyAlignment="1" applyFont="1">
      <alignment horizontal="left"/>
    </xf>
    <xf borderId="20" fillId="0" fontId="3" numFmtId="14" xfId="0" applyAlignment="1" applyBorder="1" applyFont="1" applyNumberFormat="1">
      <alignment horizontal="center" textRotation="90" vertical="center"/>
    </xf>
    <xf borderId="21" fillId="6" fontId="9" numFmtId="0" xfId="0" applyAlignment="1" applyBorder="1" applyFont="1">
      <alignment vertical="top"/>
    </xf>
    <xf borderId="22" fillId="6" fontId="3" numFmtId="0" xfId="0" applyAlignment="1" applyBorder="1" applyFont="1">
      <alignment readingOrder="0" vertical="top"/>
    </xf>
    <xf borderId="23" fillId="5" fontId="10" numFmtId="164" xfId="0" applyAlignment="1" applyBorder="1" applyFont="1" applyNumberFormat="1">
      <alignment horizontal="left" vertical="top"/>
    </xf>
    <xf borderId="8" fillId="6" fontId="9" numFmtId="0" xfId="0" applyAlignment="1" applyBorder="1" applyFont="1">
      <alignment horizontal="left" vertical="top"/>
    </xf>
    <xf borderId="6" fillId="3" fontId="9" numFmtId="0" xfId="0" applyAlignment="1" applyBorder="1" applyFont="1">
      <alignment horizontal="left" vertical="top"/>
    </xf>
    <xf borderId="7" fillId="3" fontId="9" numFmtId="0" xfId="0" applyAlignment="1" applyBorder="1" applyFont="1">
      <alignment horizontal="left" vertical="top"/>
    </xf>
    <xf borderId="8" fillId="3" fontId="9" numFmtId="9" xfId="0" applyAlignment="1" applyBorder="1" applyFont="1" applyNumberFormat="1">
      <alignment horizontal="left" vertical="top"/>
    </xf>
    <xf borderId="7" fillId="3" fontId="9" numFmtId="9" xfId="0" applyAlignment="1" applyBorder="1" applyFont="1" applyNumberFormat="1">
      <alignment horizontal="left" vertical="top"/>
    </xf>
    <xf borderId="21" fillId="3" fontId="9" numFmtId="0" xfId="0" applyAlignment="1" applyBorder="1" applyFont="1">
      <alignment horizontal="left" vertical="top"/>
    </xf>
    <xf borderId="7" fillId="3" fontId="9" numFmtId="1" xfId="0" applyAlignment="1" applyBorder="1" applyFont="1" applyNumberFormat="1">
      <alignment horizontal="left" vertical="top"/>
    </xf>
    <xf borderId="24" fillId="3" fontId="9" numFmtId="9" xfId="0" applyAlignment="1" applyBorder="1" applyFont="1" applyNumberFormat="1">
      <alignment horizontal="left" vertical="top"/>
    </xf>
    <xf borderId="25" fillId="5" fontId="8" numFmtId="164" xfId="0" applyAlignment="1" applyBorder="1" applyFont="1" applyNumberFormat="1">
      <alignment horizontal="center" readingOrder="0" vertical="top"/>
    </xf>
    <xf borderId="13" fillId="3" fontId="9" numFmtId="1" xfId="0" applyAlignment="1" applyBorder="1" applyFont="1" applyNumberFormat="1">
      <alignment horizontal="left" vertical="top"/>
    </xf>
    <xf borderId="20" fillId="0" fontId="2" numFmtId="0" xfId="0" applyBorder="1" applyFont="1"/>
    <xf borderId="8" fillId="6" fontId="9" numFmtId="0" xfId="0" applyAlignment="1" applyBorder="1" applyFont="1">
      <alignment horizontal="left" readingOrder="0" vertical="top"/>
    </xf>
    <xf borderId="6" fillId="6" fontId="9" numFmtId="0" xfId="0" applyAlignment="1" applyBorder="1" applyFont="1">
      <alignment horizontal="left" vertical="top"/>
    </xf>
    <xf borderId="7" fillId="6" fontId="9" numFmtId="0" xfId="0" applyAlignment="1" applyBorder="1" applyFont="1">
      <alignment horizontal="left" vertical="top"/>
    </xf>
    <xf borderId="8" fillId="6" fontId="9" numFmtId="9" xfId="0" applyAlignment="1" applyBorder="1" applyFont="1" applyNumberFormat="1">
      <alignment horizontal="left" vertical="top"/>
    </xf>
    <xf borderId="7" fillId="6" fontId="9" numFmtId="9" xfId="0" applyAlignment="1" applyBorder="1" applyFont="1" applyNumberFormat="1">
      <alignment horizontal="left" vertical="top"/>
    </xf>
    <xf borderId="21" fillId="6" fontId="9" numFmtId="0" xfId="0" applyAlignment="1" applyBorder="1" applyFont="1">
      <alignment horizontal="left" vertical="top"/>
    </xf>
    <xf borderId="7" fillId="6" fontId="9" numFmtId="1" xfId="0" applyAlignment="1" applyBorder="1" applyFont="1" applyNumberFormat="1">
      <alignment horizontal="left" vertical="top"/>
    </xf>
    <xf borderId="24" fillId="6" fontId="9" numFmtId="9" xfId="0" applyAlignment="1" applyBorder="1" applyFont="1" applyNumberFormat="1">
      <alignment horizontal="left" vertical="top"/>
    </xf>
    <xf borderId="13" fillId="6" fontId="9" numFmtId="1" xfId="0" applyAlignment="1" applyBorder="1" applyFont="1" applyNumberFormat="1">
      <alignment horizontal="left" vertical="top"/>
    </xf>
    <xf borderId="6" fillId="3" fontId="9" numFmtId="0" xfId="0" applyAlignment="1" applyBorder="1" applyFont="1">
      <alignment horizontal="center"/>
    </xf>
    <xf borderId="0" fillId="0" fontId="12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13" numFmtId="0" xfId="0" applyFont="1"/>
    <xf borderId="26" fillId="0" fontId="2" numFmtId="0" xfId="0" applyBorder="1" applyFont="1"/>
    <xf borderId="9" fillId="6" fontId="9" numFmtId="0" xfId="0" applyAlignment="1" applyBorder="1" applyFont="1">
      <alignment vertical="top"/>
    </xf>
    <xf borderId="27" fillId="6" fontId="3" numFmtId="0" xfId="0" applyAlignment="1" applyBorder="1" applyFont="1">
      <alignment horizontal="left" readingOrder="0" vertical="top"/>
    </xf>
    <xf borderId="28" fillId="5" fontId="14" numFmtId="164" xfId="0" applyAlignment="1" applyBorder="1" applyFont="1" applyNumberFormat="1">
      <alignment horizontal="left" vertical="top"/>
    </xf>
    <xf borderId="29" fillId="6" fontId="3" numFmtId="14" xfId="0" applyAlignment="1" applyBorder="1" applyFont="1" applyNumberFormat="1">
      <alignment horizontal="left" vertical="top"/>
    </xf>
    <xf borderId="30" fillId="3" fontId="9" numFmtId="0" xfId="0" applyAlignment="1" applyBorder="1" applyFont="1">
      <alignment horizontal="left" vertical="top"/>
    </xf>
    <xf borderId="31" fillId="3" fontId="9" numFmtId="0" xfId="0" applyAlignment="1" applyBorder="1" applyFont="1">
      <alignment horizontal="left" vertical="top"/>
    </xf>
    <xf borderId="29" fillId="3" fontId="9" numFmtId="9" xfId="0" applyAlignment="1" applyBorder="1" applyFont="1" applyNumberFormat="1">
      <alignment horizontal="left" vertical="top"/>
    </xf>
    <xf borderId="31" fillId="3" fontId="9" numFmtId="9" xfId="0" applyAlignment="1" applyBorder="1" applyFont="1" applyNumberFormat="1">
      <alignment horizontal="left" vertical="top"/>
    </xf>
    <xf borderId="32" fillId="5" fontId="14" numFmtId="0" xfId="0" applyAlignment="1" applyBorder="1" applyFont="1">
      <alignment horizontal="left" vertical="top"/>
    </xf>
    <xf borderId="33" fillId="5" fontId="14" numFmtId="1" xfId="0" applyAlignment="1" applyBorder="1" applyFont="1" applyNumberFormat="1">
      <alignment horizontal="left" vertical="top"/>
    </xf>
    <xf borderId="33" fillId="5" fontId="14" numFmtId="9" xfId="0" applyAlignment="1" applyBorder="1" applyFont="1" applyNumberFormat="1">
      <alignment horizontal="left" vertical="top"/>
    </xf>
    <xf borderId="33" fillId="5" fontId="14" numFmtId="164" xfId="0" applyAlignment="1" applyBorder="1" applyFont="1" applyNumberFormat="1">
      <alignment horizontal="center" vertical="top"/>
    </xf>
    <xf borderId="33" fillId="5" fontId="14" numFmtId="0" xfId="0" applyAlignment="1" applyBorder="1" applyFont="1">
      <alignment horizontal="left" vertical="top"/>
    </xf>
    <xf borderId="34" fillId="5" fontId="14" numFmtId="20" xfId="0" applyAlignment="1" applyBorder="1" applyFont="1" applyNumberFormat="1">
      <alignment horizontal="left" vertical="top"/>
    </xf>
    <xf borderId="0" fillId="0" fontId="11" numFmtId="9" xfId="0" applyAlignment="1" applyFont="1" applyNumberFormat="1">
      <alignment horizontal="left"/>
    </xf>
    <xf borderId="14" fillId="7" fontId="1" numFmtId="0" xfId="0" applyAlignment="1" applyBorder="1" applyFill="1" applyFont="1">
      <alignment vertical="top"/>
    </xf>
    <xf borderId="14" fillId="7" fontId="9" numFmtId="0" xfId="0" applyAlignment="1" applyBorder="1" applyFont="1">
      <alignment horizontal="left" vertical="top"/>
    </xf>
    <xf borderId="15" fillId="7" fontId="3" numFmtId="0" xfId="0" applyAlignment="1" applyBorder="1" applyFont="1">
      <alignment readingOrder="0" vertical="top"/>
    </xf>
    <xf borderId="17" fillId="7" fontId="9" numFmtId="0" xfId="0" applyAlignment="1" applyBorder="1" applyFont="1">
      <alignment horizontal="left" vertical="top"/>
    </xf>
    <xf borderId="18" fillId="7" fontId="9" numFmtId="0" xfId="0" applyAlignment="1" applyBorder="1" applyFont="1">
      <alignment horizontal="left" vertical="top"/>
    </xf>
    <xf borderId="4" fillId="7" fontId="9" numFmtId="0" xfId="0" applyAlignment="1" applyBorder="1" applyFont="1">
      <alignment horizontal="left" vertical="top"/>
    </xf>
    <xf borderId="17" fillId="7" fontId="9" numFmtId="9" xfId="0" applyAlignment="1" applyBorder="1" applyFont="1" applyNumberFormat="1">
      <alignment horizontal="left" vertical="top"/>
    </xf>
    <xf borderId="14" fillId="7" fontId="9" numFmtId="1" xfId="0" applyAlignment="1" applyBorder="1" applyFont="1" applyNumberFormat="1">
      <alignment horizontal="left" vertical="top"/>
    </xf>
    <xf borderId="4" fillId="7" fontId="9" numFmtId="1" xfId="0" applyAlignment="1" applyBorder="1" applyFont="1" applyNumberFormat="1">
      <alignment horizontal="left" vertical="top"/>
    </xf>
    <xf borderId="4" fillId="7" fontId="9" numFmtId="9" xfId="0" applyAlignment="1" applyBorder="1" applyFont="1" applyNumberFormat="1">
      <alignment horizontal="left" vertical="top"/>
    </xf>
    <xf borderId="19" fillId="5" fontId="8" numFmtId="164" xfId="0" applyAlignment="1" applyBorder="1" applyFont="1" applyNumberFormat="1">
      <alignment horizontal="center" readingOrder="0" vertical="top"/>
    </xf>
    <xf borderId="5" fillId="7" fontId="9" numFmtId="1" xfId="0" applyAlignment="1" applyBorder="1" applyFont="1" applyNumberFormat="1">
      <alignment horizontal="left" vertical="top"/>
    </xf>
    <xf borderId="0" fillId="0" fontId="5" numFmtId="9" xfId="0" applyFont="1" applyNumberFormat="1"/>
    <xf borderId="21" fillId="7" fontId="9" numFmtId="0" xfId="0" applyAlignment="1" applyBorder="1" applyFont="1">
      <alignment vertical="top"/>
    </xf>
    <xf borderId="22" fillId="7" fontId="3" numFmtId="0" xfId="0" applyAlignment="1" applyBorder="1" applyFont="1">
      <alignment readingOrder="0" vertical="top"/>
    </xf>
    <xf borderId="8" fillId="7" fontId="9" numFmtId="0" xfId="0" applyAlignment="1" applyBorder="1" applyFont="1">
      <alignment horizontal="left" readingOrder="0" vertical="top"/>
    </xf>
    <xf borderId="21" fillId="6" fontId="9" numFmtId="1" xfId="0" applyAlignment="1" applyBorder="1" applyFont="1" applyNumberFormat="1">
      <alignment horizontal="left" vertical="top"/>
    </xf>
    <xf borderId="6" fillId="7" fontId="9" numFmtId="0" xfId="0" applyAlignment="1" applyBorder="1" applyFont="1">
      <alignment horizontal="left" vertical="top"/>
    </xf>
    <xf borderId="7" fillId="7" fontId="9" numFmtId="0" xfId="0" applyAlignment="1" applyBorder="1" applyFont="1">
      <alignment horizontal="left" vertical="top"/>
    </xf>
    <xf borderId="8" fillId="7" fontId="9" numFmtId="9" xfId="0" applyAlignment="1" applyBorder="1" applyFont="1" applyNumberFormat="1">
      <alignment horizontal="left" vertical="top"/>
    </xf>
    <xf borderId="21" fillId="7" fontId="9" numFmtId="1" xfId="0" applyAlignment="1" applyBorder="1" applyFont="1" applyNumberFormat="1">
      <alignment horizontal="left" vertical="top"/>
    </xf>
    <xf borderId="7" fillId="7" fontId="9" numFmtId="1" xfId="0" applyAlignment="1" applyBorder="1" applyFont="1" applyNumberFormat="1">
      <alignment horizontal="left" vertical="top"/>
    </xf>
    <xf borderId="24" fillId="7" fontId="9" numFmtId="9" xfId="0" applyAlignment="1" applyBorder="1" applyFont="1" applyNumberFormat="1">
      <alignment horizontal="left" vertical="top"/>
    </xf>
    <xf borderId="13" fillId="7" fontId="9" numFmtId="1" xfId="0" applyAlignment="1" applyBorder="1" applyFont="1" applyNumberForma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11" numFmtId="0" xfId="0" applyFont="1"/>
    <xf borderId="0" fillId="0" fontId="5" numFmtId="9" xfId="0" applyAlignment="1" applyFont="1" applyNumberFormat="1">
      <alignment horizontal="center"/>
    </xf>
    <xf borderId="0" fillId="0" fontId="11" numFmtId="9" xfId="0" applyFont="1" applyNumberFormat="1"/>
    <xf borderId="7" fillId="7" fontId="9" numFmtId="9" xfId="0" applyAlignment="1" applyBorder="1" applyFont="1" applyNumberFormat="1">
      <alignment horizontal="left" vertical="top"/>
    </xf>
    <xf borderId="0" fillId="0" fontId="7" numFmtId="0" xfId="0" applyFont="1"/>
    <xf borderId="9" fillId="7" fontId="9" numFmtId="0" xfId="0" applyAlignment="1" applyBorder="1" applyFont="1">
      <alignment vertical="top"/>
    </xf>
    <xf borderId="27" fillId="7" fontId="3" numFmtId="0" xfId="0" applyAlignment="1" applyBorder="1" applyFont="1">
      <alignment readingOrder="0" vertical="top"/>
    </xf>
    <xf borderId="29" fillId="7" fontId="3" numFmtId="14" xfId="0" applyAlignment="1" applyBorder="1" applyFont="1" applyNumberFormat="1">
      <alignment horizontal="left" vertical="top"/>
    </xf>
    <xf borderId="30" fillId="6" fontId="9" numFmtId="0" xfId="0" applyAlignment="1" applyBorder="1" applyFont="1">
      <alignment horizontal="left" vertical="top"/>
    </xf>
    <xf borderId="31" fillId="6" fontId="9" numFmtId="0" xfId="0" applyAlignment="1" applyBorder="1" applyFont="1">
      <alignment horizontal="left" vertical="top"/>
    </xf>
    <xf borderId="29" fillId="6" fontId="9" numFmtId="9" xfId="0" applyAlignment="1" applyBorder="1" applyFont="1" applyNumberFormat="1">
      <alignment horizontal="left" vertical="top"/>
    </xf>
    <xf borderId="32" fillId="5" fontId="14" numFmtId="1" xfId="0" applyAlignment="1" applyBorder="1" applyFont="1" applyNumberFormat="1">
      <alignment horizontal="left" vertical="top"/>
    </xf>
    <xf borderId="21" fillId="6" fontId="3" numFmtId="0" xfId="0" applyAlignment="1" applyBorder="1" applyFont="1">
      <alignment vertical="top"/>
    </xf>
    <xf borderId="14" fillId="3" fontId="9" numFmtId="0" xfId="0" applyAlignment="1" applyBorder="1" applyFont="1">
      <alignment vertical="top"/>
    </xf>
    <xf borderId="15" fillId="3" fontId="3" numFmtId="0" xfId="0" applyAlignment="1" applyBorder="1" applyFont="1">
      <alignment readingOrder="0" vertical="top"/>
    </xf>
    <xf borderId="17" fillId="3" fontId="9" numFmtId="0" xfId="0" applyAlignment="1" applyBorder="1" applyFont="1">
      <alignment horizontal="left" vertical="top"/>
    </xf>
    <xf borderId="14" fillId="6" fontId="9" numFmtId="1" xfId="0" applyAlignment="1" applyBorder="1" applyFont="1" applyNumberFormat="1">
      <alignment horizontal="left" vertical="top"/>
    </xf>
    <xf borderId="21" fillId="3" fontId="9" numFmtId="9" xfId="0" applyAlignment="1" applyBorder="1" applyFont="1" applyNumberFormat="1">
      <alignment vertical="top"/>
    </xf>
    <xf borderId="22" fillId="3" fontId="3" numFmtId="0" xfId="0" applyAlignment="1" applyBorder="1" applyFont="1">
      <alignment readingOrder="0" vertical="top"/>
    </xf>
    <xf borderId="8" fillId="3" fontId="9" numFmtId="0" xfId="0" applyAlignment="1" applyBorder="1" applyFont="1">
      <alignment horizontal="left" vertical="top"/>
    </xf>
    <xf borderId="21" fillId="3" fontId="9" numFmtId="1" xfId="0" applyAlignment="1" applyBorder="1" applyFont="1" applyNumberFormat="1">
      <alignment horizontal="left" vertical="top"/>
    </xf>
    <xf borderId="21" fillId="3" fontId="9" numFmtId="0" xfId="0" applyAlignment="1" applyBorder="1" applyFont="1">
      <alignment vertical="top"/>
    </xf>
    <xf borderId="8" fillId="3" fontId="9" numFmtId="0" xfId="0" applyAlignment="1" applyBorder="1" applyFont="1">
      <alignment horizontal="left" readingOrder="0" vertical="top"/>
    </xf>
    <xf borderId="25" fillId="5" fontId="8" numFmtId="164" xfId="0" applyAlignment="1" applyBorder="1" applyFont="1" applyNumberFormat="1">
      <alignment horizontal="center" vertical="top"/>
    </xf>
    <xf borderId="9" fillId="3" fontId="9" numFmtId="0" xfId="0" applyAlignment="1" applyBorder="1" applyFont="1">
      <alignment vertical="top"/>
    </xf>
    <xf borderId="27" fillId="3" fontId="3" numFmtId="0" xfId="0" applyAlignment="1" applyBorder="1" applyFont="1">
      <alignment readingOrder="0" vertical="top"/>
    </xf>
    <xf borderId="29" fillId="3" fontId="3" numFmtId="14" xfId="0" applyAlignment="1" applyBorder="1" applyFont="1" applyNumberFormat="1">
      <alignment horizontal="left" vertical="top"/>
    </xf>
    <xf borderId="15" fillId="7" fontId="3" numFmtId="0" xfId="0" applyAlignment="1" applyBorder="1" applyFont="1">
      <alignment vertical="top"/>
    </xf>
    <xf borderId="20" fillId="0" fontId="3" numFmtId="14" xfId="0" applyAlignment="1" applyBorder="1" applyFont="1" applyNumberFormat="1">
      <alignment horizontal="center" textRotation="90" vertical="top"/>
    </xf>
    <xf borderId="22" fillId="7" fontId="3" numFmtId="0" xfId="0" applyAlignment="1" applyBorder="1" applyFont="1">
      <alignment vertical="top"/>
    </xf>
    <xf borderId="8" fillId="7" fontId="9" numFmtId="0" xfId="0" applyAlignment="1" applyBorder="1" applyFont="1">
      <alignment horizontal="left" vertical="top"/>
    </xf>
    <xf borderId="0" fillId="0" fontId="6" numFmtId="0" xfId="0" applyAlignment="1" applyFont="1">
      <alignment horizontal="center"/>
    </xf>
    <xf borderId="27" fillId="7" fontId="3" numFmtId="14" xfId="0" applyAlignment="1" applyBorder="1" applyFont="1" applyNumberFormat="1">
      <alignment vertical="top"/>
    </xf>
    <xf borderId="29" fillId="7" fontId="15" numFmtId="14" xfId="0" applyAlignment="1" applyBorder="1" applyFont="1" applyNumberFormat="1">
      <alignment horizontal="left" vertical="top"/>
    </xf>
    <xf borderId="15" fillId="6" fontId="3" numFmtId="0" xfId="0" applyAlignment="1" applyBorder="1" applyFont="1">
      <alignment vertical="top"/>
    </xf>
    <xf borderId="22" fillId="6" fontId="3" numFmtId="0" xfId="0" applyAlignment="1" applyBorder="1" applyFont="1">
      <alignment vertical="top"/>
    </xf>
    <xf borderId="27" fillId="6" fontId="3" numFmtId="0" xfId="0" applyAlignment="1" applyBorder="1" applyFont="1">
      <alignment vertical="top"/>
    </xf>
    <xf borderId="1" fillId="8" fontId="1" numFmtId="0" xfId="0" applyAlignment="1" applyBorder="1" applyFill="1" applyFont="1">
      <alignment horizontal="center" vertical="top"/>
    </xf>
    <xf borderId="21" fillId="8" fontId="1" numFmtId="1" xfId="0" applyAlignment="1" applyBorder="1" applyFont="1" applyNumberFormat="1">
      <alignment vertical="top"/>
    </xf>
    <xf borderId="7" fillId="8" fontId="1" numFmtId="164" xfId="0" applyAlignment="1" applyBorder="1" applyFont="1" applyNumberFormat="1">
      <alignment vertical="top"/>
    </xf>
    <xf borderId="7" fillId="8" fontId="1" numFmtId="0" xfId="0" applyAlignment="1" applyBorder="1" applyFont="1">
      <alignment vertical="top"/>
    </xf>
    <xf borderId="25" fillId="5" fontId="8" numFmtId="165" xfId="0" applyAlignment="1" applyBorder="1" applyFont="1" applyNumberFormat="1">
      <alignment horizontal="center" vertical="top"/>
    </xf>
    <xf borderId="7" fillId="8" fontId="1" numFmtId="1" xfId="0" applyAlignment="1" applyBorder="1" applyFont="1" applyNumberFormat="1">
      <alignment vertical="top"/>
    </xf>
    <xf borderId="13" fillId="8" fontId="1" numFmtId="20" xfId="0" applyAlignment="1" applyBorder="1" applyFont="1" applyNumberFormat="1">
      <alignment vertical="top"/>
    </xf>
    <xf borderId="31" fillId="4" fontId="1" numFmtId="0" xfId="0" applyAlignment="1" applyBorder="1" applyFont="1">
      <alignment horizontal="center" vertical="top"/>
    </xf>
    <xf borderId="35" fillId="4" fontId="1" numFmtId="0" xfId="0" applyAlignment="1" applyBorder="1" applyFont="1">
      <alignment horizontal="center" vertical="top"/>
    </xf>
    <xf borderId="31" fillId="4" fontId="1" numFmtId="0" xfId="0" applyAlignment="1" applyBorder="1" applyFont="1">
      <alignment horizontal="left" vertical="top"/>
    </xf>
    <xf borderId="36" fillId="5" fontId="8" numFmtId="164" xfId="0" applyAlignment="1" applyBorder="1" applyFont="1" applyNumberFormat="1">
      <alignment horizontal="center" vertical="top"/>
    </xf>
    <xf borderId="37" fillId="4" fontId="1" numFmtId="0" xfId="0" applyAlignment="1" applyBorder="1" applyFont="1">
      <alignment horizontal="left" vertical="top"/>
    </xf>
    <xf borderId="38" fillId="4" fontId="1" numFmtId="0" xfId="0" applyAlignment="1" applyBorder="1" applyFont="1">
      <alignment horizontal="center" vertical="top"/>
    </xf>
    <xf borderId="0" fillId="0" fontId="16" numFmtId="0" xfId="0" applyFont="1"/>
    <xf borderId="0" fillId="0" fontId="17" numFmtId="0" xfId="0" applyAlignment="1" applyFont="1">
      <alignment horizontal="left"/>
    </xf>
    <xf borderId="0" fillId="0" fontId="16" numFmtId="0" xfId="0" applyAlignment="1" applyFont="1">
      <alignment horizontal="left" vertical="top"/>
    </xf>
    <xf borderId="0" fillId="0" fontId="16" numFmtId="0" xfId="0" applyAlignment="1" applyFont="1">
      <alignment horizontal="left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left"/>
    </xf>
    <xf borderId="0" fillId="0" fontId="20" numFmtId="9" xfId="0" applyAlignment="1" applyFont="1" applyNumberFormat="1">
      <alignment horizontal="left"/>
    </xf>
    <xf borderId="0" fillId="0" fontId="20" numFmtId="0" xfId="0" applyFont="1"/>
    <xf borderId="0" fillId="0" fontId="7" numFmtId="0" xfId="0" applyAlignment="1" applyFont="1">
      <alignment horizontal="left"/>
    </xf>
    <xf borderId="27" fillId="6" fontId="3" numFmtId="14" xfId="0" applyAlignment="1" applyBorder="1" applyFont="1" applyNumberFormat="1">
      <alignment horizontal="left" vertical="top"/>
    </xf>
    <xf borderId="0" fillId="0" fontId="21" numFmtId="0" xfId="0" applyAlignment="1" applyFont="1">
      <alignment horizontal="left"/>
    </xf>
    <xf borderId="15" fillId="3" fontId="3" numFmtId="0" xfId="0" applyAlignment="1" applyBorder="1" applyFont="1">
      <alignment vertical="top"/>
    </xf>
    <xf borderId="22" fillId="3" fontId="3" numFmtId="0" xfId="0" applyAlignment="1" applyBorder="1" applyFont="1">
      <alignment vertical="top"/>
    </xf>
    <xf borderId="27" fillId="3" fontId="3" numFmtId="14" xfId="0" applyAlignment="1" applyBorder="1" applyFont="1" applyNumberFormat="1">
      <alignment vertical="top"/>
    </xf>
    <xf borderId="0" fillId="0" fontId="19" numFmtId="0" xfId="0" applyFont="1"/>
    <xf borderId="0" fillId="0" fontId="18" numFmtId="0" xfId="0" applyFont="1"/>
    <xf borderId="39" fillId="5" fontId="8" numFmtId="164" xfId="0" applyAlignment="1" applyBorder="1" applyFont="1" applyNumberFormat="1">
      <alignment horizontal="center" vertical="top"/>
    </xf>
    <xf borderId="0" fillId="0" fontId="19" numFmtId="0" xfId="0" applyAlignment="1" applyFont="1">
      <alignment vertical="top"/>
    </xf>
    <xf borderId="14" fillId="7" fontId="7" numFmtId="0" xfId="0" applyAlignment="1" applyBorder="1" applyFont="1">
      <alignment vertical="top"/>
    </xf>
    <xf borderId="14" fillId="7" fontId="5" numFmtId="0" xfId="0" applyAlignment="1" applyBorder="1" applyFont="1">
      <alignment horizontal="left" vertical="top"/>
    </xf>
    <xf borderId="15" fillId="7" fontId="19" numFmtId="0" xfId="0" applyAlignment="1" applyBorder="1" applyFont="1">
      <alignment vertical="top"/>
    </xf>
    <xf borderId="16" fillId="5" fontId="22" numFmtId="164" xfId="0" applyAlignment="1" applyBorder="1" applyFont="1" applyNumberFormat="1">
      <alignment horizontal="left" vertical="top"/>
    </xf>
    <xf borderId="17" fillId="7" fontId="5" numFmtId="0" xfId="0" applyAlignment="1" applyBorder="1" applyFont="1">
      <alignment horizontal="left" vertical="top"/>
    </xf>
    <xf borderId="18" fillId="7" fontId="5" numFmtId="0" xfId="0" applyAlignment="1" applyBorder="1" applyFont="1">
      <alignment horizontal="left" vertical="top"/>
    </xf>
    <xf borderId="4" fillId="7" fontId="5" numFmtId="0" xfId="0" applyAlignment="1" applyBorder="1" applyFont="1">
      <alignment horizontal="left" vertical="top"/>
    </xf>
    <xf borderId="17" fillId="7" fontId="5" numFmtId="9" xfId="0" applyAlignment="1" applyBorder="1" applyFont="1" applyNumberFormat="1">
      <alignment horizontal="left" vertical="top"/>
    </xf>
    <xf borderId="14" fillId="7" fontId="5" numFmtId="1" xfId="0" applyAlignment="1" applyBorder="1" applyFont="1" applyNumberFormat="1">
      <alignment horizontal="left" vertical="top"/>
    </xf>
    <xf borderId="4" fillId="7" fontId="5" numFmtId="1" xfId="0" applyAlignment="1" applyBorder="1" applyFont="1" applyNumberFormat="1">
      <alignment horizontal="left" vertical="top"/>
    </xf>
    <xf borderId="4" fillId="7" fontId="5" numFmtId="9" xfId="0" applyAlignment="1" applyBorder="1" applyFont="1" applyNumberFormat="1">
      <alignment horizontal="left" vertical="top"/>
    </xf>
    <xf borderId="19" fillId="5" fontId="11" numFmtId="164" xfId="0" applyAlignment="1" applyBorder="1" applyFont="1" applyNumberFormat="1">
      <alignment horizontal="center" vertical="top"/>
    </xf>
    <xf borderId="5" fillId="7" fontId="5" numFmtId="1" xfId="0" applyAlignment="1" applyBorder="1" applyFont="1" applyNumberFormat="1">
      <alignment horizontal="left" vertical="top"/>
    </xf>
    <xf borderId="20" fillId="0" fontId="19" numFmtId="14" xfId="0" applyAlignment="1" applyBorder="1" applyFont="1" applyNumberFormat="1">
      <alignment horizontal="center" textRotation="90" vertical="top"/>
    </xf>
    <xf borderId="21" fillId="7" fontId="5" numFmtId="0" xfId="0" applyAlignment="1" applyBorder="1" applyFont="1">
      <alignment vertical="top"/>
    </xf>
    <xf borderId="22" fillId="7" fontId="19" numFmtId="0" xfId="0" applyAlignment="1" applyBorder="1" applyFont="1">
      <alignment vertical="top"/>
    </xf>
    <xf borderId="23" fillId="5" fontId="22" numFmtId="164" xfId="0" applyAlignment="1" applyBorder="1" applyFont="1" applyNumberFormat="1">
      <alignment horizontal="left" vertical="top"/>
    </xf>
    <xf borderId="8" fillId="7" fontId="5" numFmtId="0" xfId="0" applyAlignment="1" applyBorder="1" applyFont="1">
      <alignment horizontal="left" vertical="top"/>
    </xf>
    <xf borderId="6" fillId="6" fontId="5" numFmtId="0" xfId="0" applyAlignment="1" applyBorder="1" applyFont="1">
      <alignment horizontal="left" vertical="top"/>
    </xf>
    <xf borderId="7" fillId="6" fontId="5" numFmtId="0" xfId="0" applyAlignment="1" applyBorder="1" applyFont="1">
      <alignment horizontal="left" vertical="top"/>
    </xf>
    <xf borderId="8" fillId="6" fontId="5" numFmtId="9" xfId="0" applyAlignment="1" applyBorder="1" applyFont="1" applyNumberFormat="1">
      <alignment horizontal="left" vertical="top"/>
    </xf>
    <xf borderId="21" fillId="6" fontId="5" numFmtId="1" xfId="0" applyAlignment="1" applyBorder="1" applyFont="1" applyNumberFormat="1">
      <alignment horizontal="left" vertical="top"/>
    </xf>
    <xf borderId="7" fillId="6" fontId="5" numFmtId="1" xfId="0" applyAlignment="1" applyBorder="1" applyFont="1" applyNumberFormat="1">
      <alignment horizontal="left" vertical="top"/>
    </xf>
    <xf borderId="24" fillId="6" fontId="5" numFmtId="9" xfId="0" applyAlignment="1" applyBorder="1" applyFont="1" applyNumberFormat="1">
      <alignment horizontal="left" vertical="top"/>
    </xf>
    <xf borderId="25" fillId="5" fontId="11" numFmtId="164" xfId="0" applyAlignment="1" applyBorder="1" applyFont="1" applyNumberFormat="1">
      <alignment horizontal="center" vertical="top"/>
    </xf>
    <xf borderId="13" fillId="6" fontId="5" numFmtId="1" xfId="0" applyAlignment="1" applyBorder="1" applyFont="1" applyNumberFormat="1">
      <alignment horizontal="left" vertical="top"/>
    </xf>
    <xf borderId="6" fillId="7" fontId="5" numFmtId="0" xfId="0" applyAlignment="1" applyBorder="1" applyFont="1">
      <alignment horizontal="left" vertical="top"/>
    </xf>
    <xf borderId="7" fillId="7" fontId="5" numFmtId="0" xfId="0" applyAlignment="1" applyBorder="1" applyFont="1">
      <alignment horizontal="left" vertical="top"/>
    </xf>
    <xf borderId="8" fillId="7" fontId="5" numFmtId="9" xfId="0" applyAlignment="1" applyBorder="1" applyFont="1" applyNumberFormat="1">
      <alignment horizontal="left" vertical="top"/>
    </xf>
    <xf borderId="21" fillId="7" fontId="5" numFmtId="1" xfId="0" applyAlignment="1" applyBorder="1" applyFont="1" applyNumberFormat="1">
      <alignment horizontal="left" vertical="top"/>
    </xf>
    <xf borderId="7" fillId="7" fontId="5" numFmtId="1" xfId="0" applyAlignment="1" applyBorder="1" applyFont="1" applyNumberFormat="1">
      <alignment horizontal="left" vertical="top"/>
    </xf>
    <xf borderId="24" fillId="7" fontId="5" numFmtId="9" xfId="0" applyAlignment="1" applyBorder="1" applyFont="1" applyNumberFormat="1">
      <alignment horizontal="left" vertical="top"/>
    </xf>
    <xf borderId="13" fillId="7" fontId="5" numFmtId="1" xfId="0" applyAlignment="1" applyBorder="1" applyFont="1" applyNumberFormat="1">
      <alignment horizontal="left" vertical="top"/>
    </xf>
    <xf borderId="7" fillId="7" fontId="5" numFmtId="9" xfId="0" applyAlignment="1" applyBorder="1" applyFont="1" applyNumberFormat="1">
      <alignment horizontal="left" vertical="top"/>
    </xf>
    <xf borderId="9" fillId="7" fontId="5" numFmtId="0" xfId="0" applyAlignment="1" applyBorder="1" applyFont="1">
      <alignment vertical="top"/>
    </xf>
    <xf borderId="27" fillId="7" fontId="19" numFmtId="14" xfId="0" applyAlignment="1" applyBorder="1" applyFont="1" applyNumberFormat="1">
      <alignment vertical="top"/>
    </xf>
    <xf borderId="28" fillId="5" fontId="23" numFmtId="164" xfId="0" applyAlignment="1" applyBorder="1" applyFont="1" applyNumberFormat="1">
      <alignment horizontal="left" vertical="top"/>
    </xf>
    <xf borderId="29" fillId="7" fontId="24" numFmtId="14" xfId="0" applyAlignment="1" applyBorder="1" applyFont="1" applyNumberFormat="1">
      <alignment horizontal="left" vertical="top"/>
    </xf>
    <xf borderId="30" fillId="6" fontId="5" numFmtId="0" xfId="0" applyAlignment="1" applyBorder="1" applyFont="1">
      <alignment horizontal="left" vertical="top"/>
    </xf>
    <xf borderId="31" fillId="6" fontId="5" numFmtId="0" xfId="0" applyAlignment="1" applyBorder="1" applyFont="1">
      <alignment horizontal="left" vertical="top"/>
    </xf>
    <xf borderId="29" fillId="6" fontId="5" numFmtId="9" xfId="0" applyAlignment="1" applyBorder="1" applyFont="1" applyNumberFormat="1">
      <alignment horizontal="left" vertical="top"/>
    </xf>
    <xf borderId="32" fillId="5" fontId="23" numFmtId="1" xfId="0" applyAlignment="1" applyBorder="1" applyFont="1" applyNumberFormat="1">
      <alignment horizontal="left" vertical="top"/>
    </xf>
    <xf borderId="33" fillId="5" fontId="23" numFmtId="1" xfId="0" applyAlignment="1" applyBorder="1" applyFont="1" applyNumberFormat="1">
      <alignment horizontal="left" vertical="top"/>
    </xf>
    <xf borderId="33" fillId="5" fontId="23" numFmtId="9" xfId="0" applyAlignment="1" applyBorder="1" applyFont="1" applyNumberFormat="1">
      <alignment horizontal="left" vertical="top"/>
    </xf>
    <xf borderId="33" fillId="5" fontId="23" numFmtId="164" xfId="0" applyAlignment="1" applyBorder="1" applyFont="1" applyNumberFormat="1">
      <alignment horizontal="center" vertical="top"/>
    </xf>
    <xf borderId="33" fillId="5" fontId="23" numFmtId="0" xfId="0" applyAlignment="1" applyBorder="1" applyFont="1">
      <alignment horizontal="left" vertical="top"/>
    </xf>
    <xf borderId="34" fillId="5" fontId="23" numFmtId="20" xfId="0" applyAlignment="1" applyBorder="1" applyFont="1" applyNumberFormat="1">
      <alignment horizontal="left" vertical="top"/>
    </xf>
    <xf borderId="21" fillId="6" fontId="19" numFmtId="0" xfId="0" applyAlignment="1" applyBorder="1" applyFont="1">
      <alignment vertical="top"/>
    </xf>
    <xf borderId="14" fillId="6" fontId="5" numFmtId="0" xfId="0" applyAlignment="1" applyBorder="1" applyFont="1">
      <alignment vertical="top"/>
    </xf>
    <xf borderId="15" fillId="6" fontId="19" numFmtId="0" xfId="0" applyAlignment="1" applyBorder="1" applyFont="1">
      <alignment vertical="top"/>
    </xf>
    <xf borderId="17" fillId="6" fontId="5" numFmtId="0" xfId="0" applyAlignment="1" applyBorder="1" applyFont="1">
      <alignment horizontal="left" vertical="top"/>
    </xf>
    <xf borderId="18" fillId="6" fontId="5" numFmtId="0" xfId="0" applyAlignment="1" applyBorder="1" applyFont="1">
      <alignment horizontal="left" vertical="top"/>
    </xf>
    <xf borderId="4" fillId="6" fontId="5" numFmtId="0" xfId="0" applyAlignment="1" applyBorder="1" applyFont="1">
      <alignment horizontal="left" vertical="top"/>
    </xf>
    <xf borderId="17" fillId="6" fontId="5" numFmtId="9" xfId="0" applyAlignment="1" applyBorder="1" applyFont="1" applyNumberFormat="1">
      <alignment horizontal="left" vertical="top"/>
    </xf>
    <xf borderId="14" fillId="6" fontId="5" numFmtId="1" xfId="0" applyAlignment="1" applyBorder="1" applyFont="1" applyNumberFormat="1">
      <alignment horizontal="left" vertical="top"/>
    </xf>
    <xf borderId="4" fillId="6" fontId="5" numFmtId="1" xfId="0" applyAlignment="1" applyBorder="1" applyFont="1" applyNumberFormat="1">
      <alignment horizontal="left" vertical="top"/>
    </xf>
    <xf borderId="4" fillId="6" fontId="5" numFmtId="9" xfId="0" applyAlignment="1" applyBorder="1" applyFont="1" applyNumberFormat="1">
      <alignment horizontal="left" vertical="top"/>
    </xf>
    <xf borderId="5" fillId="6" fontId="5" numFmtId="1" xfId="0" applyAlignment="1" applyBorder="1" applyFont="1" applyNumberFormat="1">
      <alignment horizontal="left" vertical="top"/>
    </xf>
    <xf borderId="21" fillId="6" fontId="5" numFmtId="0" xfId="0" applyAlignment="1" applyBorder="1" applyFont="1">
      <alignment vertical="top"/>
    </xf>
    <xf borderId="22" fillId="6" fontId="19" numFmtId="0" xfId="0" applyAlignment="1" applyBorder="1" applyFont="1">
      <alignment vertical="top"/>
    </xf>
    <xf borderId="8" fillId="6" fontId="5" numFmtId="0" xfId="0" applyAlignment="1" applyBorder="1" applyFont="1">
      <alignment horizontal="left" vertical="top"/>
    </xf>
    <xf borderId="6" fillId="3" fontId="5" numFmtId="0" xfId="0" applyAlignment="1" applyBorder="1" applyFont="1">
      <alignment horizontal="left" vertical="top"/>
    </xf>
    <xf borderId="7" fillId="3" fontId="5" numFmtId="0" xfId="0" applyAlignment="1" applyBorder="1" applyFont="1">
      <alignment horizontal="left" vertical="top"/>
    </xf>
    <xf borderId="8" fillId="3" fontId="5" numFmtId="9" xfId="0" applyAlignment="1" applyBorder="1" applyFont="1" applyNumberFormat="1">
      <alignment horizontal="left" vertical="top"/>
    </xf>
    <xf borderId="21" fillId="3" fontId="5" numFmtId="1" xfId="0" applyAlignment="1" applyBorder="1" applyFont="1" applyNumberFormat="1">
      <alignment horizontal="left" vertical="top"/>
    </xf>
    <xf borderId="7" fillId="3" fontId="5" numFmtId="1" xfId="0" applyAlignment="1" applyBorder="1" applyFont="1" applyNumberFormat="1">
      <alignment horizontal="left" vertical="top"/>
    </xf>
    <xf borderId="24" fillId="3" fontId="5" numFmtId="9" xfId="0" applyAlignment="1" applyBorder="1" applyFont="1" applyNumberFormat="1">
      <alignment horizontal="left" vertical="top"/>
    </xf>
    <xf borderId="13" fillId="3" fontId="5" numFmtId="1" xfId="0" applyAlignment="1" applyBorder="1" applyFont="1" applyNumberFormat="1">
      <alignment horizontal="left" vertical="top"/>
    </xf>
    <xf borderId="7" fillId="6" fontId="5" numFmtId="9" xfId="0" applyAlignment="1" applyBorder="1" applyFont="1" applyNumberFormat="1">
      <alignment horizontal="left" vertical="top"/>
    </xf>
    <xf borderId="9" fillId="6" fontId="5" numFmtId="0" xfId="0" applyAlignment="1" applyBorder="1" applyFont="1">
      <alignment vertical="top"/>
    </xf>
    <xf borderId="27" fillId="6" fontId="19" numFmtId="0" xfId="0" applyAlignment="1" applyBorder="1" applyFont="1">
      <alignment vertical="top"/>
    </xf>
    <xf borderId="29" fillId="6" fontId="19" numFmtId="14" xfId="0" applyAlignment="1" applyBorder="1" applyFont="1" applyNumberFormat="1">
      <alignment horizontal="left" vertical="top"/>
    </xf>
    <xf borderId="30" fillId="3" fontId="5" numFmtId="0" xfId="0" applyAlignment="1" applyBorder="1" applyFont="1">
      <alignment horizontal="left" vertical="top"/>
    </xf>
    <xf borderId="31" fillId="3" fontId="5" numFmtId="0" xfId="0" applyAlignment="1" applyBorder="1" applyFont="1">
      <alignment horizontal="left" vertical="top"/>
    </xf>
    <xf borderId="29" fillId="3" fontId="5" numFmtId="9" xfId="0" applyAlignment="1" applyBorder="1" applyFont="1" applyNumberFormat="1">
      <alignment horizontal="left" vertical="top"/>
    </xf>
    <xf borderId="1" fillId="8" fontId="25" numFmtId="0" xfId="0" applyAlignment="1" applyBorder="1" applyFont="1">
      <alignment horizontal="center" vertical="top"/>
    </xf>
    <xf borderId="0" fillId="0" fontId="5" numFmtId="9" xfId="0" applyAlignment="1" applyFont="1" applyNumberFormat="1">
      <alignment horizontal="left" vertical="top"/>
    </xf>
    <xf borderId="9" fillId="4" fontId="7" numFmtId="0" xfId="0" applyAlignment="1" applyBorder="1" applyFont="1">
      <alignment horizontal="center" vertical="top"/>
    </xf>
    <xf borderId="31" fillId="4" fontId="7" numFmtId="0" xfId="0" applyAlignment="1" applyBorder="1" applyFont="1">
      <alignment horizontal="center" vertical="top"/>
    </xf>
    <xf borderId="31" fillId="4" fontId="7" numFmtId="0" xfId="0" applyAlignment="1" applyBorder="1" applyFont="1">
      <alignment horizontal="left" vertical="top"/>
    </xf>
    <xf borderId="39" fillId="5" fontId="11" numFmtId="0" xfId="0" applyAlignment="1" applyBorder="1" applyFont="1">
      <alignment horizontal="center" vertical="top"/>
    </xf>
    <xf borderId="37" fillId="4" fontId="7" numFmtId="0" xfId="0" applyAlignment="1" applyBorder="1" applyFont="1">
      <alignment horizontal="left" vertical="top"/>
    </xf>
    <xf borderId="38" fillId="4" fontId="7" numFmtId="0" xfId="0" applyAlignment="1" applyBorder="1" applyFont="1">
      <alignment horizontal="center" vertical="top"/>
    </xf>
    <xf borderId="40" fillId="7" fontId="5" numFmtId="0" xfId="0" applyAlignment="1" applyBorder="1" applyFont="1">
      <alignment horizontal="center" vertical="top"/>
    </xf>
    <xf borderId="6" fillId="3" fontId="5" numFmtId="0" xfId="0" applyAlignment="1" applyBorder="1" applyFont="1">
      <alignment horizontal="center"/>
    </xf>
    <xf borderId="7" fillId="3" fontId="5" numFmtId="9" xfId="0" applyAlignment="1" applyBorder="1" applyFont="1" applyNumberFormat="1">
      <alignment horizontal="left" vertical="top"/>
    </xf>
    <xf borderId="21" fillId="3" fontId="5" numFmtId="0" xfId="0" applyAlignment="1" applyBorder="1" applyFont="1">
      <alignment horizontal="left" vertical="top"/>
    </xf>
    <xf borderId="0" fillId="0" fontId="5" numFmtId="0" xfId="0" applyAlignment="1" applyFont="1">
      <alignment horizontal="center" vertical="top"/>
    </xf>
    <xf borderId="0" fillId="0" fontId="5" numFmtId="1" xfId="0" applyAlignment="1" applyFont="1" applyNumberFormat="1">
      <alignment horizontal="left" vertical="top"/>
    </xf>
    <xf borderId="0" fillId="0" fontId="5" numFmtId="164" xfId="0" applyAlignment="1" applyFont="1" applyNumberFormat="1">
      <alignment horizontal="left" vertical="top"/>
    </xf>
    <xf borderId="41" fillId="7" fontId="5" numFmtId="0" xfId="0" applyAlignment="1" applyBorder="1" applyFont="1">
      <alignment horizontal="center" vertical="top"/>
    </xf>
    <xf borderId="0" fillId="0" fontId="19" numFmtId="0" xfId="0" applyAlignment="1" applyFont="1">
      <alignment horizontal="left"/>
    </xf>
    <xf borderId="0" fillId="0" fontId="26" numFmtId="0" xfId="0" applyFont="1"/>
    <xf borderId="0" fillId="0" fontId="19" numFmtId="0" xfId="0" applyAlignment="1" applyFont="1">
      <alignment horizontal="left" shrinkToFit="0" vertical="top" wrapText="1"/>
    </xf>
    <xf borderId="42" fillId="0" fontId="5" numFmtId="0" xfId="0" applyBorder="1" applyFont="1"/>
    <xf borderId="43" fillId="0" fontId="5" numFmtId="0" xfId="0" applyBorder="1" applyFont="1"/>
    <xf borderId="44" fillId="0" fontId="5" numFmtId="0" xfId="0" applyBorder="1" applyFont="1"/>
    <xf borderId="45" fillId="0" fontId="5" numFmtId="0" xfId="0" applyBorder="1" applyFont="1"/>
    <xf borderId="20" fillId="0" fontId="5" numFmtId="0" xfId="0" applyBorder="1" applyFont="1"/>
    <xf borderId="46" fillId="0" fontId="5" numFmtId="0" xfId="0" applyBorder="1" applyFont="1"/>
    <xf borderId="47" fillId="0" fontId="5" numFmtId="0" xfId="0" applyBorder="1" applyFont="1"/>
    <xf borderId="0" fillId="0" fontId="6" numFmtId="0" xfId="0" applyFont="1"/>
    <xf borderId="47" fillId="0" fontId="27" numFmtId="0" xfId="0" applyBorder="1" applyFont="1"/>
    <xf borderId="48" fillId="0" fontId="5" numFmtId="0" xfId="0" applyBorder="1" applyFont="1"/>
    <xf borderId="49" fillId="0" fontId="5" numFmtId="0" xfId="0" applyBorder="1" applyFont="1"/>
    <xf borderId="49" fillId="0" fontId="5" numFmtId="14" xfId="0" applyBorder="1" applyFont="1" applyNumberFormat="1"/>
    <xf borderId="50" fillId="0" fontId="5" numFmtId="0" xfId="0" applyBorder="1" applyFont="1"/>
    <xf borderId="0" fillId="0" fontId="5" numFmtId="14" xfId="0" applyFont="1" applyNumberFormat="1"/>
    <xf borderId="51" fillId="0" fontId="5" numFmtId="0" xfId="0" applyAlignment="1" applyBorder="1" applyFont="1">
      <alignment horizontal="center" shrinkToFit="0" vertical="center" wrapText="1"/>
    </xf>
    <xf borderId="52" fillId="0" fontId="5" numFmtId="0" xfId="0" applyAlignment="1" applyBorder="1" applyFont="1">
      <alignment horizontal="center" shrinkToFit="0" vertical="center" wrapText="1"/>
    </xf>
    <xf borderId="53" fillId="0" fontId="5" numFmtId="0" xfId="0" applyAlignment="1" applyBorder="1" applyFont="1">
      <alignment horizontal="center" shrinkToFit="0" vertical="center" wrapText="1"/>
    </xf>
    <xf borderId="54" fillId="0" fontId="5" numFmtId="49" xfId="0" applyAlignment="1" applyBorder="1" applyFont="1" applyNumberFormat="1">
      <alignment horizontal="center" shrinkToFit="0" vertical="center" wrapText="1"/>
    </xf>
    <xf borderId="55" fillId="0" fontId="5" numFmtId="0" xfId="0" applyAlignment="1" applyBorder="1" applyFont="1">
      <alignment horizontal="center" shrinkToFit="0" vertical="center" wrapText="1"/>
    </xf>
    <xf borderId="56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98508823"/>
        <c:axId val="1021236615"/>
      </c:scatterChart>
      <c:valAx>
        <c:axId val="398508823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1236615"/>
      </c:valAx>
      <c:valAx>
        <c:axId val="10212366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9850882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Тоннаж недельный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'Цикл'!$V$1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'Цикл'!$V$38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'Цикл'!$V$75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'Цикл'!$V$112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'Цикл'!$V$149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yVal>
            <c:numRef>
              <c:f>'Цикл'!$V$186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yVal>
            <c:numRef>
              <c:f>'Цикл'!$V$223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yVal>
            <c:numRef>
              <c:f>'Цикл'!$V$260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yVal>
            <c:numRef>
              <c:f>'Цикл'!$V$297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yVal>
            <c:numRef>
              <c:f>'Цикл'!$V$334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yVal>
            <c:numRef>
              <c:f>'Цикл'!$V$371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yVal>
            <c:numRef>
              <c:f>'Цикл'!$V$408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938594"/>
        <c:axId val="997692211"/>
      </c:scatterChart>
      <c:valAx>
        <c:axId val="1066938594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7692211"/>
      </c:valAx>
      <c:valAx>
        <c:axId val="997692211"/>
        <c:scaling>
          <c:orientation val="minMax"/>
          <c:min val="3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693859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КПШ недельный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'Цикл'!$AA$1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'Цикл'!$AA$38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'Цикл'!$AA$75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'Цикл'!$AA$112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'Цикл'!$AA$149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yVal>
            <c:numRef>
              <c:f>'Цикл'!$AA$186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yVal>
            <c:numRef>
              <c:f>'Цикл'!$AA$223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yVal>
            <c:numRef>
              <c:f>'Цикл'!$AA$260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yVal>
            <c:numRef>
              <c:f>'Цикл'!$AA$297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yVal>
            <c:numRef>
              <c:f>'Цикл'!$AA$334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yVal>
            <c:numRef>
              <c:f>'Цикл'!$AA$371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yVal>
            <c:numRef>
              <c:f>'Цикл'!$AA$408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224354"/>
        <c:axId val="12382543"/>
      </c:scatterChart>
      <c:valAx>
        <c:axId val="335224354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82543"/>
      </c:valAx>
      <c:valAx>
        <c:axId val="12382543"/>
        <c:scaling>
          <c:orientation val="minMax"/>
          <c:min val="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522435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 Средний вес недельный</a:t>
            </a:r>
          </a:p>
        </c:rich>
      </c:tx>
      <c:layout>
        <c:manualLayout>
          <c:xMode val="edge"/>
          <c:yMode val="edge"/>
          <c:x val="0.2870917816125238"/>
          <c:y val="0.03938791078848161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Тоннаж недельный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'Цикл'!$W$1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'Цикл'!$W$38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'Цикл'!$W$75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'Цикл'!$W$112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'Цикл'!$W$149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yVal>
            <c:numRef>
              <c:f>'Цикл'!$W$186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yVal>
            <c:numRef>
              <c:f>'Цикл'!$W$223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yVal>
            <c:numRef>
              <c:f>'Цикл'!$W$260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yVal>
            <c:numRef>
              <c:f>'Цикл'!$W$297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yVal>
            <c:numRef>
              <c:f>'Цикл'!$W$334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yVal>
            <c:numRef>
              <c:f>'Цикл'!$W$371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yVal>
            <c:numRef>
              <c:f>'Цикл'!$W$408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29605"/>
        <c:axId val="961482451"/>
      </c:scatterChart>
      <c:valAx>
        <c:axId val="377529605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1482451"/>
      </c:valAx>
      <c:valAx>
        <c:axId val="961482451"/>
        <c:scaling>
          <c:orientation val="minMax"/>
          <c:min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752960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Интенсивность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'Упражнение'!$W$3:$W$14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426539"/>
        <c:axId val="1970702429"/>
      </c:scatterChart>
      <c:valAx>
        <c:axId val="1180426539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0702429"/>
      </c:valAx>
      <c:valAx>
        <c:axId val="197070242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042653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Тоннаж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'Упражнение'!$S$3:$S$14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332202"/>
        <c:axId val="1300082604"/>
      </c:scatterChart>
      <c:valAx>
        <c:axId val="930332202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0082604"/>
      </c:valAx>
      <c:valAx>
        <c:axId val="130008260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0332202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КПШ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'Упражнение'!$X$3:$X$14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228201"/>
        <c:axId val="2079886213"/>
      </c:scatterChart>
      <c:valAx>
        <c:axId val="1524228201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9886213"/>
      </c:valAx>
      <c:valAx>
        <c:axId val="207988621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4228201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Средний вес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'Упражнение'!$T$3:$T$14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797165"/>
        <c:axId val="2142275808"/>
      </c:scatterChart>
      <c:valAx>
        <c:axId val="615797165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2275808"/>
      </c:valAx>
      <c:valAx>
        <c:axId val="214227580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579716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0</xdr:row>
      <xdr:rowOff>133350</xdr:rowOff>
    </xdr:from>
    <xdr:ext cx="16459200" cy="3286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0</xdr:colOff>
      <xdr:row>17</xdr:row>
      <xdr:rowOff>104775</xdr:rowOff>
    </xdr:from>
    <xdr:ext cx="16440150" cy="6162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56</xdr:col>
      <xdr:colOff>200025</xdr:colOff>
      <xdr:row>0</xdr:row>
      <xdr:rowOff>152400</xdr:rowOff>
    </xdr:from>
    <xdr:ext cx="5505450" cy="32194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56</xdr:col>
      <xdr:colOff>200025</xdr:colOff>
      <xdr:row>17</xdr:row>
      <xdr:rowOff>104775</xdr:rowOff>
    </xdr:from>
    <xdr:ext cx="5734050" cy="61817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14</xdr:row>
      <xdr:rowOff>95250</xdr:rowOff>
    </xdr:from>
    <xdr:ext cx="5353050" cy="3781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38100</xdr:colOff>
      <xdr:row>14</xdr:row>
      <xdr:rowOff>114300</xdr:rowOff>
    </xdr:from>
    <xdr:ext cx="4981575" cy="3781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228600</xdr:colOff>
      <xdr:row>0</xdr:row>
      <xdr:rowOff>47625</xdr:rowOff>
    </xdr:from>
    <xdr:ext cx="4848225" cy="26193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457200</xdr:colOff>
      <xdr:row>14</xdr:row>
      <xdr:rowOff>114300</xdr:rowOff>
    </xdr:from>
    <xdr:ext cx="4657725" cy="37909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2</xdr:row>
      <xdr:rowOff>28575</xdr:rowOff>
    </xdr:from>
    <xdr:ext cx="4333875" cy="5610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vk.com/sk1men" TargetMode="External"/><Relationship Id="rId2" Type="http://schemas.openxmlformats.org/officeDocument/2006/relationships/hyperlink" Target="http://vk.com/1astmanstanding" TargetMode="External"/><Relationship Id="rId3" Type="http://schemas.openxmlformats.org/officeDocument/2006/relationships/hyperlink" Target="http://vk.com/lastmanstand1ng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6.57"/>
    <col customWidth="1" min="3" max="3" width="23.0"/>
    <col customWidth="1" min="4" max="4" width="3.71"/>
    <col customWidth="1" min="5" max="5" width="2.71"/>
    <col customWidth="1" min="6" max="21" width="4.0"/>
    <col customWidth="1" min="22" max="22" width="4.86"/>
    <col customWidth="1" min="23" max="23" width="4.29"/>
    <col customWidth="1" min="24" max="24" width="4.71"/>
    <col customWidth="1" min="25" max="25" width="6.86"/>
    <col customWidth="1" min="26" max="26" width="5.57"/>
    <col customWidth="1" min="27" max="27" width="3.29"/>
    <col customWidth="1" min="28" max="28" width="4.43"/>
    <col customWidth="1" min="29" max="29" width="7.86"/>
    <col customWidth="1" hidden="1" min="30" max="44" width="9.14"/>
    <col customWidth="1" hidden="1" min="45" max="45" width="10.86"/>
    <col customWidth="1" hidden="1" min="46" max="46" width="8.71"/>
    <col customWidth="1" min="47" max="52" width="9.14"/>
    <col customWidth="1" min="53" max="67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>
        <f>V9+V16+V23+V30+V37</f>
        <v>14983.6</v>
      </c>
      <c r="W1" s="5">
        <f>IFERROR(V1/AA1,0)</f>
        <v>18.31735941</v>
      </c>
      <c r="X1" s="6"/>
      <c r="Y1" s="7"/>
      <c r="Z1" s="4" t="str">
        <f t="shared" ref="Z1:AB1" si="1">Z9+Z16+Z23+Z30+Z37</f>
        <v>#REF!</v>
      </c>
      <c r="AA1" s="4">
        <f t="shared" si="1"/>
        <v>818</v>
      </c>
      <c r="AB1" s="8">
        <f t="shared" si="1"/>
        <v>0.1930555556</v>
      </c>
      <c r="AC1" s="9"/>
      <c r="AD1" s="10"/>
      <c r="AE1" s="11"/>
      <c r="AF1" s="11"/>
      <c r="AG1" s="12" t="str">
        <f>IFERROR(ROUND(AD1/$Y1,2),)</f>
        <v/>
      </c>
      <c r="AH1" s="10"/>
      <c r="AI1" s="11"/>
      <c r="AJ1" s="11"/>
      <c r="AK1" s="12" t="str">
        <f>IFERROR(ROUND(AH1/$Y1,2),)</f>
        <v/>
      </c>
      <c r="AL1" s="13"/>
      <c r="AM1" s="11"/>
      <c r="AN1" s="11"/>
      <c r="AO1" s="12" t="str">
        <f>IFERROR(ROUND(AL1/$Y1,2),)</f>
        <v/>
      </c>
      <c r="AP1" s="13"/>
      <c r="AQ1" s="11"/>
      <c r="AR1" s="11"/>
      <c r="AS1" s="12" t="str">
        <f>IFERROR(ROUND(AP1/$Y1,2),)</f>
        <v/>
      </c>
      <c r="AT1" s="14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</row>
    <row r="2">
      <c r="A2" s="15" t="s">
        <v>1</v>
      </c>
      <c r="B2" s="16" t="s">
        <v>2</v>
      </c>
      <c r="C2" s="17" t="s">
        <v>3</v>
      </c>
      <c r="D2" s="18" t="s">
        <v>4</v>
      </c>
      <c r="E2" s="18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6</v>
      </c>
      <c r="K2" s="16" t="s">
        <v>7</v>
      </c>
      <c r="L2" s="16" t="s">
        <v>8</v>
      </c>
      <c r="M2" s="16" t="s">
        <v>9</v>
      </c>
      <c r="N2" s="16" t="s">
        <v>6</v>
      </c>
      <c r="O2" s="16" t="s">
        <v>7</v>
      </c>
      <c r="P2" s="16" t="s">
        <v>8</v>
      </c>
      <c r="Q2" s="16" t="s">
        <v>9</v>
      </c>
      <c r="R2" s="16" t="s">
        <v>6</v>
      </c>
      <c r="S2" s="16" t="s">
        <v>7</v>
      </c>
      <c r="T2" s="16" t="s">
        <v>8</v>
      </c>
      <c r="U2" s="16" t="s">
        <v>9</v>
      </c>
      <c r="V2" s="16" t="s">
        <v>10</v>
      </c>
      <c r="W2" s="18" t="s">
        <v>11</v>
      </c>
      <c r="X2" s="18" t="s">
        <v>12</v>
      </c>
      <c r="Y2" s="19" t="s">
        <v>13</v>
      </c>
      <c r="Z2" s="20" t="s">
        <v>14</v>
      </c>
      <c r="AA2" s="16" t="s">
        <v>15</v>
      </c>
      <c r="AB2" s="21" t="s">
        <v>16</v>
      </c>
      <c r="AC2" s="9"/>
      <c r="AD2" s="22" t="str">
        <f>IF(AG2&lt;&gt;0,(IFERROR(IF($Y2&gt;50,MROUND($Y2*AG2,2.5),IF($Y2&lt;15,MROUND($Y2*AG2,0.1),MROUND($Y2*AG2,1))),)),"")</f>
        <v/>
      </c>
      <c r="AE2" s="23"/>
      <c r="AF2" s="23"/>
      <c r="AG2" s="24">
        <v>0.0</v>
      </c>
      <c r="AH2" s="22" t="str">
        <f>IF(AK2&lt;&gt;0,(IFERROR(IF($Y2&gt;50,MROUND($Y2*AK2,2.5),IF($Y2&lt;15,MROUND($Y2*AK2,0.1),MROUND($Y2*AK2,1))),)),"")</f>
        <v/>
      </c>
      <c r="AI2" s="23"/>
      <c r="AJ2" s="23"/>
      <c r="AK2" s="24">
        <v>0.0</v>
      </c>
      <c r="AL2" s="22" t="str">
        <f>IF(AO2&lt;&gt;0,(IFERROR(IF($Y2&gt;50,MROUND($Y2*AO2,2.5),IF($Y2&lt;15,MROUND($Y2*AO2,0.1),MROUND($Y2*AO2,1))),)),"")</f>
        <v/>
      </c>
      <c r="AM2" s="23"/>
      <c r="AN2" s="23"/>
      <c r="AO2" s="24">
        <v>0.0</v>
      </c>
      <c r="AP2" s="22" t="str">
        <f>IF(AS2&lt;&gt;0,(IFERROR(IF($Y2&gt;50,MROUND($Y2*AS2,2.5),IF($Y2&lt;15,MROUND($Y2*AS2,0.1),MROUND($Y2*AS2,1))),)),"")</f>
        <v/>
      </c>
      <c r="AQ2" s="23"/>
      <c r="AR2" s="23"/>
      <c r="AS2" s="24">
        <v>0.0</v>
      </c>
      <c r="AT2" s="25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>
      <c r="A3" s="26" t="s">
        <v>17</v>
      </c>
      <c r="B3" s="27" t="s">
        <v>18</v>
      </c>
      <c r="C3" s="28" t="s">
        <v>19</v>
      </c>
      <c r="D3" s="29">
        <v>1.0</v>
      </c>
      <c r="E3" s="30"/>
      <c r="F3" s="31">
        <f t="shared" ref="F3:F8" si="2">IF(I3&lt;&gt;0,(IFERROR(IF($Y3&gt;50,MROUND($Y3*I3,2.5),IF($Y3&lt;15,MROUND($Y3*I3,0.1),MROUND($Y3*I3,1))),)),"")</f>
        <v>32.5</v>
      </c>
      <c r="G3" s="32">
        <v>12.0</v>
      </c>
      <c r="H3" s="32">
        <v>1.0</v>
      </c>
      <c r="I3" s="33">
        <v>0.35</v>
      </c>
      <c r="J3" s="31">
        <f t="shared" ref="J3:J8" si="3">IF(M3&lt;&gt;0,(IFERROR(IF($Y3&gt;50,MROUND($Y3*M3,2.5),IF($Y3&lt;15,MROUND($Y3*M3,0.1),MROUND($Y3*M3,1))),)),"")</f>
        <v>42.5</v>
      </c>
      <c r="K3" s="32">
        <v>10.0</v>
      </c>
      <c r="L3" s="32">
        <v>2.0</v>
      </c>
      <c r="M3" s="33">
        <v>0.48</v>
      </c>
      <c r="N3" s="31">
        <f t="shared" ref="N3:N8" si="4">IF(Q3&lt;&gt;0,(IFERROR(IF($Y3&gt;50,MROUND($Y3*Q3,2.5),IF($Y3&lt;15,MROUND($Y3*Q3,0.1),MROUND($Y3*Q3,1))),)),"")</f>
        <v>50</v>
      </c>
      <c r="O3" s="32">
        <v>8.0</v>
      </c>
      <c r="P3" s="32">
        <v>2.0</v>
      </c>
      <c r="Q3" s="33">
        <v>0.55</v>
      </c>
      <c r="R3" s="31" t="str">
        <f t="shared" ref="R3:R8" si="5">IF(U3&lt;&gt;0,(IFERROR(IF($Y3&gt;50,MROUND($Y3*U3,2.5),IF($Y3&lt;15,MROUND($Y3*U3,0.1),MROUND($Y3*U3,1))),)),"")</f>
        <v/>
      </c>
      <c r="S3" s="32"/>
      <c r="T3" s="32"/>
      <c r="U3" s="34">
        <v>0.0</v>
      </c>
      <c r="V3" s="35">
        <f t="shared" ref="V3:V8" si="6">(IF(ISNUMBER(F3),F3,1)*G3*H3+IF(ISNUMBER(J3),J3,1)*K3*L3+IF(ISNUMBER(N3),N3,1)*O3*P3+IF(ISNUMBER(R3),R3,1)*S3*T3)*IF(ISNUMBER(E3),E3,1)</f>
        <v>2040</v>
      </c>
      <c r="W3" s="36">
        <f t="shared" ref="W3:W8" si="7">IFERROR((IF(ISNUMBER(F3),F3,1)*G3*H3+IF(ISNUMBER(J3),J3,1)*K3*L3+IF(ISNUMBER(N3),N3,1)*O3*P3+IF(ISNUMBER(R3),R3,1)*S3*T3)*IF(ISNUMBER(E3),E3,1)/(G3*H3+K3*L3+O3*P3+S3*T3),0)</f>
        <v>42.5</v>
      </c>
      <c r="X3" s="34">
        <f>ROUND(IFERROR((W3/(Y3*IF(ISNUMBER(E3),E3,1))),0),4)</f>
        <v>0.4722</v>
      </c>
      <c r="Y3" s="37">
        <v>90.0</v>
      </c>
      <c r="Z3" s="36" t="str">
        <f t="shared" ref="Z3:Z8" si="8">(IF(I3&lt;30%,0,IF(I3&lt;35%,F3*G3*H3*F!$B$33,IF(I3&lt;40%,F3*G3*H3*F!$B$38,IF(I3&lt;45%,F3*G3*H3*F!$B$43,IF(I3&lt;50%,F3*G3*H3*F!$B$48,IF(I3=50%,F3*G3*H3*F!$B$50,IF(I3=51%,F3*G3*H3*F!$B$51,IF(I3=52%,F3*G3*H3*F!$B$52,IF(I3=53%,F3*G3*H3*F!$B$53,IF(I3=54%,F3*G3*H3*F!$B$54,IF(I3=55%,F3*G3*H3*F!$B$55,IF(I3=56%,F3*G3*H3*F!$B$56,IF(I3=57%,F3*G3*H3*F!$B$57,IF(I3=58%,F3*G3*H3*F!$B$58,IF(I3=59%,F3*G3*H3*F!$B$59,IF(I3=60%,F3*G3*H3*F!$B$60,IF(I3=61%,F3*G3*H3*F!$B$61,IF(I3=62%,F3*G3*H3*F!$B$62,IF(I3=63%,F3*G3*H3*F!$B$63,IF(I3=64%,F3*G3*H3*F!$B$64,IF(I3=65%,F3*G3*H3*F!$B$65,IF(I3=66%,F3*G3*H3*F!$B$66,IF(I3=67%,F3*G3*H3*F!$B$67,IF(I3=68%,F3*G3*H3*F!$B$68,IF(I3=69%,F3*G3*H3*F!$B$69,IF(I3=70%,F3*G3*H3*F!$B$70,IF(I3=71%,F3*G3*H3*F!$B$71,IF(I3=72%,F3*G3*H3*F!$B$72,IF(I3=73%,F3*G3*H3*F!$B$73,IF(I3=74%,F3*G3*H3*F!$B$74,IF(I3=75%,F3*G3*H3*F!$B$75,IF(I3=76%,F3*G3*H3*F!$B$76,IF(I3=77%,F3*G3*H3*F!$B$77,IF(I3=78%,F3*G3*H3*F!$B$78,IF(I3=79%,F3*G3*H3*F!$B$79,IF(I3=80%,F3*G3*H3*F!$B$80,IF(I3=81%,F3*G3*H3*F!$B$81,IF(I3=82%,F3*G3*H3*F!$B$82,IF(I3=83%,F3*G3*H3*F!$B$83,IF(I3=84%,F3*G3*H3*F!$B$84,IF(I3=85%,F3*G3*H3*F!$B$85,IF(I3=86%,F3*G3*H3*F!$B$86,IF(I3=87%,F3*G3*H3*F!$B$87,IF(I3=88%,F3*G3*H3*F!$B$88,IF(I3=89%,F3*G3*H3*F!$B$89,IF(I3=90%,F3*G3*H3*F!$B$90,IF(I3=91%,F3*G3*H3*F!$B$91,IF(I3=92%,F3*G3*H3*F!$B$92,IF(I3=93%,F3*G3*H3*F!$B$93,IF(I3=94%,F3*G3*H3*F!$B$94,IF(I3=95%,F3*G3*H3*F!$B$95,IF(I3=96%,F3*G3*H3*F!$B$96,IF(I3=97%,F3*G3*H3*F!$B$97,IF(I3=98%,F3*G3*H3*F!$B$98,IF(I3=99%,F3*G3*H3*F!$B$99,IF(I3&gt;99%,F3*G3*H3*F!$B$100,))))))))))))))))))))))))))))))))))))))))))))))))))))))))+IF(M3&lt;30%,0,IF(M3&lt;35%,J3*K3*L3*F!$B$33,IF(M3&lt;40%,J3*K3*L3*F!$B$38,IF(M3&lt;45%,J3*K3*L3*F!$B$43,IF(M3&lt;50%,J3*K3*L3*F!$B$48,IF(M3=50%,J3*K3*L3*F!$B$50,IF(M3=51%,J3*K3*L3*F!$B$51,IF(M3=52%,J3*K3*L3*F!$B$52,IF(M3=53%,J3*K3*L3*F!$B$53,IF(M3=54%,J3*K3*L3*F!$B$54,IF(M3=55%,J3*K3*L3*F!$B$55,IF(M3=56%,J3*K3*L3*F!$B$56,IF(M3=57%,J3*K3*L3*F!$B$57,IF(M3=58%,J3*K3*L3*F!$B$58,IF(M3=59%,J3*K3*L3*F!$B$59,IF(M3=60%,J3*K3*L3*F!$B$60,IF(M3=61%,J3*K3*L3*F!$B$61,IF(M3=62%,J3*K3*L3*F!$B$62,IF(M3=63%,J3*K3*L3*F!$B$63,IF(M3=64%,J3*K3*L3*F!$B$64,IF(M3=65%,J3*K3*L3*F!$B$65,IF(M3=66%,J3*K3*L3*F!$B$66,IF(M3=67%,J3*K3*L3*F!$B$67,IF(M3=68%,J3*K3*L3*F!$B$68,IF(M3=69%,J3*K3*L3*F!$B$69,IF(M3=70%,J3*K3*L3*F!$B$70,IF(M3=71%,J3*K3*L3*F!$B$71,IF(M3=72%,J3*K3*L3*F!$B$72,IF(M3=73%,J3*K3*L3*F!$B$73,IF(M3=74%,J3*K3*L3*F!$B$74,IF(M3=75%,J3*K3*L3*F!$B$75,IF(M3=76%,J3*K3*L3*F!$B$76,IF(M3=77%,J3*K3*L3*F!$B$77,IF(M3=78%,J3*K3*L3*F!$B$78,IF(M3=79%,J3*K3*L3*F!$B$79,IF(M3=80%,J3*K3*L3*F!$B$80,IF(M3=81%,J3*K3*L3*F!$B$81,IF(M3=82%,J3*K3*L3*F!$B$82,IF(M3=83%,J3*K3*L3*F!$B$83,IF(M3=84%,J3*K3*L3*F!$B$84,IF(M3=85%,J3*K3*L3*F!$B$85,IF(M3=86%,J3*K3*L3*F!$B$86,IF(M3=87%,J3*K3*L3*F!$B$87,IF(M3=88%,J3*K3*L3*F!$B$88,IF(M3=89%,J3*K3*L3*F!$B$89,IF(M3=90%,J3*K3*L3*F!$B$90,IF(M3=91%,J3*K3*L3*F!$B$91,IF(M3=92%,J3*K3*L3*F!$B$92,IF(M3=93%,J3*K3*L3*F!$B$93,IF(M3=94%,J3*K3*L3*F!$B$94,IF(M3=95%,J3*K3*L3*F!$B$95,IF(M3=96%,J3*K3*L3*F!$B$96,IF(M3=97%,J3*K3*L3*F!$B$97,IF(M3=98%,J3*K3*L3*F!$B$98,IF(M3=99%,J3*K3*L3*F!$B$99,IF(M3&gt;99%,J3*K3*L3*F!$B$100,))))))))))))))))))))))))))))))))))))))))))))))))))))))))+IF(Q3&lt;30%,0,IF(Q3&lt;35%,N3*O3*P3*F!$B$33,IF(Q3&lt;40%,N3*O3*P3*F!$B$38,IF(Q3&lt;45%,N3*O3*P3*F!$B$43,IF(Q3&lt;50%,N3*O3*P3*F!$B$48,IF(Q3=50%,N3*O3*P3*F!$B$50,IF(Q3=51%,N3*O3*P3*F!$B$51,IF(Q3=52%,N3*O3*P3*F!$B$52,IF(Q3=53%,N3*O3*P3*F!$B$53,IF(Q3=54%,N3*O3*P3*F!$B$54,IF(Q3=55%,N3*O3*P3*F!$B$55,IF(Q3=56%,N3*O3*P3*F!$B$56,IF(Q3=57%,N3*O3*P3*F!$B$57,IF(Q3=58%,N3*O3*P3*F!$B$58,IF(Q3=59%,N3*O3*P3*F!$B$59,IF(Q3=60%,N3*O3*P3*F!$B$60,IF(Q3=61%,N3*O3*P3*F!$B$61,IF(Q3=62%,N3*O3*P3*F!$B$62,IF(Q3=63%,N3*O3*P3*F!$B$63,IF(Q3=64%,N3*O3*P3*F!$B$64,IF(Q3=65%,N3*O3*P3*F!$B$65,IF(Q3=66%,N3*O3*P3*F!$B$66,IF(Q3=67%,N3*O3*P3*F!$B$67,IF(Q3=68%,N3*O3*P3*F!$B$68,IF(Q3=69%,N3*O3*P3*F!$B$69,IF(Q3=70%,N3*O3*P3*F!$B$70,IF(Q3=71%,N3*O3*P3*F!$B$71,IF(Q3=72%,N3*O3*P3*F!$B$72,IF(Q3=73%,N3*O3*P3*F!$B$73,IF(Q3=74%,N3*O3*P3*F!$B$74,IF(Q3=75%,N3*O3*P3*F!$B$75,IF(Q3=76%,N3*O3*P3*F!$B$76,IF(Q3=77%,N3*O3*P3*F!$B$77,IF(Q3=78%,N3*O3*P3*F!$B$78,IF(Q3=79%,N3*O3*P3*F!$B$79,IF(Q3=80%,N3*O3*P3*F!$B$80,IF(Q3=81%,N3*O3*P3*F!$B$81,IF(Q3=82%,N3*O3*P3*F!$B$82,IF(Q3=83%,N3*O3*P3*F!$B$83,IF(Q3=84%,N3*O3*P3*F!$B$84,IF(Q3=85%,N3*O3*P3*F!$B$85,IF(Q3=86%,N3*O3*P3*F!$B$86,IF(Q3=87%,N3*O3*P3*F!$B$87,IF(Q3=88%,N3*O3*P3*F!$B$88,IF(Q3=89%,N3*O3*P3*F!$B$89,IF(Q3=90%,N3*O3*P3*F!$B$90,IF(Q3=91%,N3*O3*P3*F!$B$91,IF(Q3=92%,N3*O3*P3*F!$B$92,IF(Q3=93%,N3*O3*P3*F!$B$93,IF(Q3=94%,N3*O3*P3*F!$B$94,IF(Q3=95%,N3*O3*P3*F!$B$95,IF(Q3=96%,N3*O3*P3*F!$B$96,IF(Q3=97%,N3*O3*P3*F!$B$97,IF(Q3=98%,N3*O3*P3*F!$B$98,IF(Q3=99%,N3*O3*P3*F!$B$99,IF(Q3&gt;99%,N3*O3*P3*F!$B$100,))))))))))))))))))))))))))))))))))))))))))))))))))))))))+IF(U3&lt;30%,0,IF(U3&lt;35%,R3*S3*T3*F!$B$33,IF(U3&lt;40%,R3*S3*T3*F!$B$38,IF(U3&lt;45%,R3*S3*T3*F!$B$43,IF(U3&lt;50%,R3*S3*T3*F!$B$48,IF(U3=50%,R3*S3*T3*F!$B$50,IF(U3=51%,R3*S3*T3*F!$B$51,IF(U3=52%,R3*S3*T3*F!$B$52,IF(U3=53%,R3*S3*T3*F!$B$53,IF(U3=54%,R3*S3*T3*F!$B$54,IF(U3=55%,R3*S3*T3*F!$B$55,IF(U3=56%,R3*S3*T3*F!$B$56,IF(U3=57%,R3*S3*T3*F!$B$57,IF(U3=58%,R3*S3*T3*F!$B$58,IF(U3=59%,R3*S3*T3*F!$B$59,IF(U3=60%,R3*S3*T3*F!$B$60,IF(U3=61%,R3*S3*T3*F!$B$61,IF(U3=62%,R3*S3*T3*F!$B$62,IF(U3=63%,R3*S3*T3*F!$B$63,IF(U3=64%,R3*S3*T3*F!$B$64,IF(U3=65%,R3*S3*T3*F!$B$65,IF(U3=66%,R3*S3*T3*F!$B$66,IF(U3=67%,R3*S3*T3*F!$B$67,IF(U3=68%,R3*S3*T3*F!$B$68,IF(U3=69%,R3*S3*T3*F!$B$69,IF(U3=70%,R3*S3*T3*F!$B$70,IF(U3=71%,R3*S3*T3*F!$B$71,IF(U3=72%,R3*S3*T3*F!$B$72,IF(U3=73%,R3*S3*T3*F!$B$73,IF(U3=74%,R3*S3*T3*F!$B$74,IF(U3=75%,R3*S3*T3*F!$B$75,IF(U3=76%,R3*S3*T3*F!$B$76,IF(U3=77%,R3*S3*T3*F!$B$77,IF(U3=78%,R3*S3*T3*F!$B$78,IF(U3=79%,R3*S3*T3*F!$B$79,IF(U3=80%,R3*S3*T3*F!$B$80,IF(U3=81%,R3*S3*T3*F!$B$81,IF(U3=82%,R3*S3*T3*F!$B$82,IF(U3=83%,R3*S3*T3*F!$B$83,IF(U3=84%,R3*S3*T3*F!$B$84,IF(U3=85%,R3*S3*T3*F!$B$85,IF(U3=86%,R3*S3*T3*F!$B$86,IF(U3=87%,R3*S3*T3*F!$B$87,IF(U3=88%,R3*S3*T3*F!$B$88,IF(U3=89%,R3*S3*T3*F!$B$89,IF(U3=90%,R3*S3*T3*F!$B$90,IF(U3=91%,R3*S3*T3*F!$B$91,IF(U3=92%,R3*S3*T3*F!$B$92,IF(U3=93%,R3*S3*T3*F!$B$93,IF(U3=94%,R3*S3*T3*F!$B$94,IF(U3=95%,R3*S3*T3*F!$B$95,IF(U3=96%,R3*S3*T3*F!$B$96,IF(U3=97%,R3*S3*T3*F!$B$97,IF(U3=98%,R3*S3*T3*F!$B$98,IF(U3=99%,R3*S3*T3*F!$B$99,IF(U3&gt;99%,R3*S3*T3*F!$B$100)))))))))))))))))))))))))))))))))))))))))))))))))))))))))*IF(ISNUMBER(E3),E3,1)*IF(ISNUMBER(D3),D3,1)</f>
        <v>#REF!</v>
      </c>
      <c r="AA3" s="32">
        <f t="shared" ref="AA3:AA8" si="9">G3*H3+K3*L3+O3*P3+S3*T3</f>
        <v>48</v>
      </c>
      <c r="AB3" s="38">
        <f t="shared" ref="AB3:AB8" si="10">(H3*(IF(I3&lt;45%,0.5,IF(I3&lt;55%,0.8,IF(I3&lt;65%,0.9,IF(I3&lt;75%,1,IF(I3&lt;85%,1.1,1.2))))))+L3*(IF(M3&lt;45%,0.5,IF(M3&lt;55%,0.8,IF(M3&lt;65%,0.9,IF(M3&lt;75%,1,IF(M3&lt;85%,1.1,1.2))))))+P3*(IF(Q3&lt;45%,0.5,IF(Q3&lt;55%,0.8,IF(Q3&lt;65%,0.9,IF(Q3&lt;75%,1,IF(Q3&lt;85%,1.1,1.2))))))+T3*(IF(U3&lt;45%,0.5,IF(U3&lt;55%,0.8,IF(U3&lt;65%,0.9,IF(U3&lt;75%,1,IF(U3&lt;85%,1.1,1.2)))))))*IF(D3&gt;=0.8,6,IF(D3&lt;=0.4,1.5,3))</f>
        <v>23.4</v>
      </c>
      <c r="AC3" s="9"/>
      <c r="AD3" s="39"/>
      <c r="AE3" s="39"/>
      <c r="AF3" s="40"/>
      <c r="AG3" s="39"/>
      <c r="AH3" s="39"/>
      <c r="AI3" s="39"/>
      <c r="AJ3" s="39"/>
      <c r="AK3" s="40"/>
      <c r="AL3" s="39"/>
      <c r="AM3" s="39"/>
      <c r="AN3" s="40"/>
      <c r="AO3" s="39"/>
      <c r="AP3" s="39"/>
      <c r="AQ3" s="39"/>
      <c r="AR3" s="41"/>
      <c r="AS3" s="42"/>
      <c r="AT3" s="3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4">
      <c r="A4" s="43">
        <v>42331.0</v>
      </c>
      <c r="B4" s="44" t="s">
        <v>20</v>
      </c>
      <c r="C4" s="45" t="s">
        <v>21</v>
      </c>
      <c r="D4" s="46">
        <v>0.3</v>
      </c>
      <c r="E4" s="47"/>
      <c r="F4" s="48">
        <f t="shared" si="2"/>
        <v>12</v>
      </c>
      <c r="G4" s="49">
        <v>12.0</v>
      </c>
      <c r="H4" s="49">
        <v>3.0</v>
      </c>
      <c r="I4" s="50">
        <v>0.4</v>
      </c>
      <c r="J4" s="48" t="str">
        <f t="shared" si="3"/>
        <v/>
      </c>
      <c r="K4" s="49"/>
      <c r="L4" s="49"/>
      <c r="M4" s="50">
        <v>0.0</v>
      </c>
      <c r="N4" s="48" t="str">
        <f t="shared" si="4"/>
        <v/>
      </c>
      <c r="O4" s="49"/>
      <c r="P4" s="49"/>
      <c r="Q4" s="50">
        <v>0.0</v>
      </c>
      <c r="R4" s="48" t="str">
        <f t="shared" si="5"/>
        <v/>
      </c>
      <c r="S4" s="49"/>
      <c r="T4" s="49"/>
      <c r="U4" s="51">
        <v>0.0</v>
      </c>
      <c r="V4" s="52">
        <f t="shared" si="6"/>
        <v>432</v>
      </c>
      <c r="W4" s="53">
        <f t="shared" si="7"/>
        <v>12</v>
      </c>
      <c r="X4" s="54">
        <f t="shared" ref="X4:X8" si="11">ROUND(IFERROR((W4/(Y4*IF(ISNUMBER(E4),E4,1))),0),2)</f>
        <v>0.4</v>
      </c>
      <c r="Y4" s="55">
        <v>30.0</v>
      </c>
      <c r="Z4" s="53" t="str">
        <f t="shared" si="8"/>
        <v>#REF!</v>
      </c>
      <c r="AA4" s="49">
        <f t="shared" si="9"/>
        <v>36</v>
      </c>
      <c r="AB4" s="56">
        <f t="shared" si="10"/>
        <v>2.25</v>
      </c>
      <c r="AC4" s="9"/>
      <c r="AD4" s="39"/>
      <c r="AE4" s="39"/>
      <c r="AF4" s="40"/>
      <c r="AG4" s="39"/>
      <c r="AH4" s="39"/>
      <c r="AI4" s="39"/>
      <c r="AJ4" s="39"/>
      <c r="AK4" s="40"/>
      <c r="AL4" s="39"/>
      <c r="AM4" s="39"/>
      <c r="AN4" s="40"/>
      <c r="AO4" s="39"/>
      <c r="AP4" s="39"/>
      <c r="AQ4" s="39"/>
      <c r="AR4" s="41"/>
      <c r="AS4" s="42"/>
      <c r="AT4" s="3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</row>
    <row r="5">
      <c r="A5" s="57"/>
      <c r="B5" s="44" t="s">
        <v>18</v>
      </c>
      <c r="C5" s="45" t="s">
        <v>22</v>
      </c>
      <c r="D5" s="46">
        <v>0.3</v>
      </c>
      <c r="E5" s="58">
        <v>5.0</v>
      </c>
      <c r="F5" s="59">
        <f t="shared" si="2"/>
        <v>4.4</v>
      </c>
      <c r="G5" s="60">
        <v>12.0</v>
      </c>
      <c r="H5" s="60">
        <v>1.0</v>
      </c>
      <c r="I5" s="61">
        <v>0.44</v>
      </c>
      <c r="J5" s="59">
        <f t="shared" si="3"/>
        <v>5</v>
      </c>
      <c r="K5" s="60">
        <v>10.0</v>
      </c>
      <c r="L5" s="60">
        <v>3.0</v>
      </c>
      <c r="M5" s="61">
        <v>0.5</v>
      </c>
      <c r="N5" s="59" t="str">
        <f t="shared" si="4"/>
        <v/>
      </c>
      <c r="O5" s="60"/>
      <c r="P5" s="60"/>
      <c r="Q5" s="61">
        <v>0.0</v>
      </c>
      <c r="R5" s="59" t="str">
        <f t="shared" si="5"/>
        <v/>
      </c>
      <c r="S5" s="60"/>
      <c r="T5" s="60"/>
      <c r="U5" s="62">
        <v>0.0</v>
      </c>
      <c r="V5" s="63">
        <f t="shared" si="6"/>
        <v>1014</v>
      </c>
      <c r="W5" s="64">
        <f t="shared" si="7"/>
        <v>24.14285714</v>
      </c>
      <c r="X5" s="65">
        <f t="shared" si="11"/>
        <v>0.48</v>
      </c>
      <c r="Y5" s="55">
        <v>10.0</v>
      </c>
      <c r="Z5" s="64" t="str">
        <f t="shared" si="8"/>
        <v>#REF!</v>
      </c>
      <c r="AA5" s="60">
        <f t="shared" si="9"/>
        <v>42</v>
      </c>
      <c r="AB5" s="66">
        <f t="shared" si="10"/>
        <v>4.35</v>
      </c>
      <c r="AC5" s="9"/>
      <c r="AD5" s="39"/>
      <c r="AE5" s="39"/>
      <c r="AF5" s="40"/>
      <c r="AG5" s="39"/>
      <c r="AH5" s="39"/>
      <c r="AI5" s="39"/>
      <c r="AJ5" s="39"/>
      <c r="AK5" s="40"/>
      <c r="AL5" s="39"/>
      <c r="AM5" s="39"/>
      <c r="AN5" s="40"/>
      <c r="AO5" s="39"/>
      <c r="AP5" s="39"/>
      <c r="AQ5" s="39"/>
      <c r="AR5" s="41"/>
      <c r="AS5" s="42"/>
      <c r="AT5" s="3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</row>
    <row r="6">
      <c r="A6" s="57"/>
      <c r="B6" s="44" t="s">
        <v>23</v>
      </c>
      <c r="C6" s="45" t="s">
        <v>24</v>
      </c>
      <c r="D6" s="46">
        <v>1.2</v>
      </c>
      <c r="E6" s="58"/>
      <c r="F6" s="48">
        <f t="shared" si="2"/>
        <v>20</v>
      </c>
      <c r="G6" s="49">
        <v>12.0</v>
      </c>
      <c r="H6" s="49">
        <v>1.0</v>
      </c>
      <c r="I6" s="50">
        <v>0.4</v>
      </c>
      <c r="J6" s="67">
        <f t="shared" si="3"/>
        <v>30</v>
      </c>
      <c r="K6" s="49">
        <v>10.0</v>
      </c>
      <c r="L6" s="49">
        <v>4.0</v>
      </c>
      <c r="M6" s="50">
        <v>0.6</v>
      </c>
      <c r="N6" s="48" t="str">
        <f t="shared" si="4"/>
        <v/>
      </c>
      <c r="O6" s="49"/>
      <c r="P6" s="49"/>
      <c r="Q6" s="50">
        <v>0.0</v>
      </c>
      <c r="R6" s="48" t="str">
        <f t="shared" si="5"/>
        <v/>
      </c>
      <c r="S6" s="49"/>
      <c r="T6" s="49"/>
      <c r="U6" s="51">
        <v>0.0</v>
      </c>
      <c r="V6" s="52">
        <f t="shared" si="6"/>
        <v>1440</v>
      </c>
      <c r="W6" s="53">
        <f t="shared" si="7"/>
        <v>27.69230769</v>
      </c>
      <c r="X6" s="54">
        <f t="shared" si="11"/>
        <v>0.55</v>
      </c>
      <c r="Y6" s="55">
        <v>50.0</v>
      </c>
      <c r="Z6" s="53" t="str">
        <f t="shared" si="8"/>
        <v>#REF!</v>
      </c>
      <c r="AA6" s="49">
        <f t="shared" si="9"/>
        <v>52</v>
      </c>
      <c r="AB6" s="56">
        <f t="shared" si="10"/>
        <v>24.6</v>
      </c>
      <c r="AC6" s="9"/>
      <c r="AD6" s="39"/>
      <c r="AE6" s="39"/>
      <c r="AF6" s="40"/>
      <c r="AG6" s="39"/>
      <c r="AH6" s="39"/>
      <c r="AI6" s="39"/>
      <c r="AJ6" s="39"/>
      <c r="AK6" s="40"/>
      <c r="AL6" s="39"/>
      <c r="AM6" s="39"/>
      <c r="AN6" s="40"/>
      <c r="AO6" s="39"/>
      <c r="AP6" s="39"/>
      <c r="AQ6" s="39"/>
      <c r="AR6" s="41"/>
      <c r="AS6" s="42"/>
      <c r="AT6" s="3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</row>
    <row r="7">
      <c r="A7" s="57"/>
      <c r="B7" s="44" t="s">
        <v>20</v>
      </c>
      <c r="C7" s="45" t="s">
        <v>25</v>
      </c>
      <c r="D7" s="46">
        <v>1.2</v>
      </c>
      <c r="E7" s="58">
        <v>2.0</v>
      </c>
      <c r="F7" s="59">
        <f t="shared" si="2"/>
        <v>2.9</v>
      </c>
      <c r="G7" s="60">
        <v>10.0</v>
      </c>
      <c r="H7" s="60">
        <v>4.0</v>
      </c>
      <c r="I7" s="61">
        <v>0.42</v>
      </c>
      <c r="J7" s="59" t="str">
        <f t="shared" si="3"/>
        <v/>
      </c>
      <c r="K7" s="60"/>
      <c r="L7" s="60"/>
      <c r="M7" s="61">
        <v>0.0</v>
      </c>
      <c r="N7" s="59" t="str">
        <f t="shared" si="4"/>
        <v/>
      </c>
      <c r="O7" s="60"/>
      <c r="P7" s="60"/>
      <c r="Q7" s="61">
        <v>0.0</v>
      </c>
      <c r="R7" s="59" t="str">
        <f t="shared" si="5"/>
        <v/>
      </c>
      <c r="S7" s="60"/>
      <c r="T7" s="60"/>
      <c r="U7" s="62">
        <v>0.0</v>
      </c>
      <c r="V7" s="63">
        <f t="shared" si="6"/>
        <v>232</v>
      </c>
      <c r="W7" s="64">
        <f t="shared" si="7"/>
        <v>5.8</v>
      </c>
      <c r="X7" s="62">
        <f t="shared" si="11"/>
        <v>0.41</v>
      </c>
      <c r="Y7" s="55">
        <v>7.0</v>
      </c>
      <c r="Z7" s="64" t="str">
        <f t="shared" si="8"/>
        <v>#REF!</v>
      </c>
      <c r="AA7" s="60">
        <f t="shared" si="9"/>
        <v>40</v>
      </c>
      <c r="AB7" s="66">
        <f t="shared" si="10"/>
        <v>12</v>
      </c>
      <c r="AC7" s="9"/>
      <c r="AD7" s="39"/>
      <c r="AE7" s="39"/>
      <c r="AF7" s="40"/>
      <c r="AG7" s="39"/>
      <c r="AH7" s="39"/>
      <c r="AI7" s="39"/>
      <c r="AJ7" s="39"/>
      <c r="AK7" s="40"/>
      <c r="AL7" s="39"/>
      <c r="AM7" s="39"/>
      <c r="AN7" s="40"/>
      <c r="AO7" s="39"/>
      <c r="AP7" s="39"/>
      <c r="AQ7" s="39"/>
      <c r="AR7" s="41"/>
      <c r="AS7" s="42"/>
      <c r="AT7" s="3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</row>
    <row r="8">
      <c r="A8" s="57"/>
      <c r="B8" s="44" t="s">
        <v>18</v>
      </c>
      <c r="C8" s="45" t="s">
        <v>26</v>
      </c>
      <c r="D8" s="46">
        <v>0.4</v>
      </c>
      <c r="E8" s="58">
        <v>2.0</v>
      </c>
      <c r="F8" s="48">
        <f t="shared" si="2"/>
        <v>2.4</v>
      </c>
      <c r="G8" s="49">
        <v>12.0</v>
      </c>
      <c r="H8" s="49">
        <v>1.0</v>
      </c>
      <c r="I8" s="50">
        <v>0.4</v>
      </c>
      <c r="J8" s="48">
        <f t="shared" si="3"/>
        <v>3.3</v>
      </c>
      <c r="K8" s="49">
        <v>12.0</v>
      </c>
      <c r="L8" s="49">
        <v>3.0</v>
      </c>
      <c r="M8" s="50">
        <v>0.55</v>
      </c>
      <c r="N8" s="48" t="str">
        <f t="shared" si="4"/>
        <v/>
      </c>
      <c r="O8" s="49"/>
      <c r="P8" s="49"/>
      <c r="Q8" s="50">
        <v>0.0</v>
      </c>
      <c r="R8" s="48" t="str">
        <f t="shared" si="5"/>
        <v/>
      </c>
      <c r="S8" s="49"/>
      <c r="T8" s="49"/>
      <c r="U8" s="51">
        <v>0.0</v>
      </c>
      <c r="V8" s="52">
        <f t="shared" si="6"/>
        <v>295.2</v>
      </c>
      <c r="W8" s="53">
        <f t="shared" si="7"/>
        <v>6.15</v>
      </c>
      <c r="X8" s="54">
        <f t="shared" si="11"/>
        <v>0.51</v>
      </c>
      <c r="Y8" s="55">
        <v>6.0</v>
      </c>
      <c r="Z8" s="53" t="str">
        <f t="shared" si="8"/>
        <v>#REF!</v>
      </c>
      <c r="AA8" s="49">
        <f t="shared" si="9"/>
        <v>48</v>
      </c>
      <c r="AB8" s="56">
        <f t="shared" si="10"/>
        <v>4.8</v>
      </c>
      <c r="AC8" s="9"/>
      <c r="AD8" s="39"/>
      <c r="AE8" s="68"/>
      <c r="AF8" s="40"/>
      <c r="AG8" s="39"/>
      <c r="AH8" s="39"/>
      <c r="AI8" s="39"/>
      <c r="AJ8" s="39"/>
      <c r="AK8" s="69"/>
      <c r="AL8" s="39"/>
      <c r="AM8" s="39"/>
      <c r="AN8" s="69"/>
      <c r="AO8" s="39"/>
      <c r="AP8" s="39"/>
      <c r="AQ8" s="70"/>
      <c r="AR8" s="41"/>
      <c r="AS8" s="42"/>
      <c r="AT8" s="71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</row>
    <row r="9">
      <c r="A9" s="72"/>
      <c r="B9" s="73"/>
      <c r="C9" s="74" t="s">
        <v>27</v>
      </c>
      <c r="D9" s="75">
        <f>ROUND(IFERROR((D3*(G3*H3+K3*L3+O3*P3+S3*T3)+D4*(G4*H4+K4*L4+O4*P4+S4*T4)+D5*(G5*H5+K5*L5+O5*P5+S5*T5)+D6*(G6*H6+K6*L6+O6*P6+S6*T6)+D7*(G7*H7+K7*L7+O7*P7+S7*T7)+D8*(G8*H8+K8*L8+O8*P8+S8*T8))/((G3*H3+K3*L3+O3*P3+S3*T3)+(G4*H4+K4*L4+O4*P4+S4*T4)+(G5*H5+K5*L5+O5*P5+S5*T5)+(G6*H6+K6*L6+O6*P6+S6*T6)+(G7*H7+K7*L7+O7*P7+S7*T7)+(G8*H8+K8*L8+O8*P8+S8*T8)),0),2)</f>
        <v>0.76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80"/>
      <c r="V9" s="81">
        <f>SUM(V3:V8)</f>
        <v>5453.2</v>
      </c>
      <c r="W9" s="82">
        <f>IFERROR(V9/AA9,0)</f>
        <v>20.50075188</v>
      </c>
      <c r="X9" s="83">
        <f>ROUND(IFERROR(((I3*G3*H3+M3*K3*L3+Q3*O3*P3+U3*S3*T3)+(I4*G4*H4+M4*K4*L4+Q4*O4*P4+U4*S4*T4)+(I5*G5*H5+M5*K5*L5+Q5*O5*P5+U5*S5*T5)+(I6*G6*H6+M6*K6*L6+Q6*O6*P6+U6*S6*T6)+(I7*G7*H7+M7*K7*L7+Q7*O7*P7+U7*S7*T7)+(I8*G8*H8+M8*K8*L8+Q8*O8*P8+U8*S8*T8))/((G3*H3+K3*L3+O3*P3+S3*T3)+(G4*H4+K4*L4+O4*P4+S4*T4)+(G5*H5+K5*L5+O5*P5+S5*T5)+(G6*H6+K6*L6+O6*P6+S6*T6)+(G7*H7+K7*L7+O7*P7+S7*T7)+(G8*H8+K8*L8+O8*P8+S8*T8)),0),3)</f>
        <v>0.479</v>
      </c>
      <c r="Y9" s="84"/>
      <c r="Z9" s="82" t="str">
        <f t="shared" ref="Z9:AA9" si="12">SUM(Z3:Z8)</f>
        <v>#REF!</v>
      </c>
      <c r="AA9" s="85">
        <f t="shared" si="12"/>
        <v>266</v>
      </c>
      <c r="AB9" s="86">
        <f>IF(SUM(AB3:AB8)=0,TIME(,0,),TIME(,SUM(AB3:AB8)+30,))</f>
        <v>0.07013888889</v>
      </c>
      <c r="AC9" s="9"/>
      <c r="AD9" s="40"/>
      <c r="AE9" s="39"/>
      <c r="AF9" s="39"/>
      <c r="AG9" s="41"/>
      <c r="AH9" s="40"/>
      <c r="AI9" s="39"/>
      <c r="AJ9" s="39"/>
      <c r="AK9" s="41"/>
      <c r="AL9" s="39"/>
      <c r="AM9" s="39"/>
      <c r="AN9" s="39"/>
      <c r="AO9" s="41"/>
      <c r="AP9" s="41"/>
      <c r="AQ9" s="39"/>
      <c r="AR9" s="41"/>
      <c r="AS9" s="87"/>
      <c r="AT9" s="3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</row>
    <row r="10">
      <c r="A10" s="88" t="s">
        <v>28</v>
      </c>
      <c r="B10" s="89" t="s">
        <v>18</v>
      </c>
      <c r="C10" s="90" t="s">
        <v>29</v>
      </c>
      <c r="D10" s="29">
        <v>1.0</v>
      </c>
      <c r="E10" s="91"/>
      <c r="F10" s="92">
        <f t="shared" ref="F10:F15" si="13">IF(I10&lt;&gt;0,(IFERROR(IF($Y10&gt;50,MROUND($Y10*I10,2.5),IF($Y10&lt;15,MROUND($Y10*I10,0.1),MROUND($Y10*I10,1))),)),"")</f>
        <v>22.5</v>
      </c>
      <c r="G10" s="93">
        <v>12.0</v>
      </c>
      <c r="H10" s="93">
        <v>1.0</v>
      </c>
      <c r="I10" s="94">
        <v>0.4</v>
      </c>
      <c r="J10" s="92">
        <f t="shared" ref="J10:J15" si="14">IF(M10&lt;&gt;0,(IFERROR(IF($Y10&gt;50,MROUND($Y10*M10,2.5),IF($Y10&lt;15,MROUND($Y10*M10,0.1),MROUND($Y10*M10,1))),)),"")</f>
        <v>32.5</v>
      </c>
      <c r="K10" s="93">
        <v>10.0</v>
      </c>
      <c r="L10" s="93">
        <v>4.0</v>
      </c>
      <c r="M10" s="94">
        <v>0.6</v>
      </c>
      <c r="N10" s="92" t="str">
        <f t="shared" ref="N10:N15" si="15">IF(Q10&lt;&gt;0,(IFERROR(IF($Y10&gt;50,MROUND($Y10*Q10,2.5),IF($Y10&lt;15,MROUND($Y10*Q10,0.1),MROUND($Y10*Q10,1))),)),"")</f>
        <v/>
      </c>
      <c r="O10" s="93"/>
      <c r="P10" s="93"/>
      <c r="Q10" s="94">
        <v>0.0</v>
      </c>
      <c r="R10" s="92" t="str">
        <f t="shared" ref="R10:R15" si="16">IF(U10&lt;&gt;0,(IFERROR(IF($Y10&gt;50,MROUND($Y10*U10,2.5),IF($Y10&lt;15,MROUND($Y10*U10,0.1),MROUND($Y10*U10,1))),)),"")</f>
        <v/>
      </c>
      <c r="S10" s="93"/>
      <c r="T10" s="93"/>
      <c r="U10" s="94">
        <v>0.0</v>
      </c>
      <c r="V10" s="95">
        <f t="shared" ref="V10:V15" si="17">(IF(ISNUMBER(F10),F10,1)*G10*H10+IF(ISNUMBER(J10),J10,1)*K10*L10+IF(ISNUMBER(N10),N10,1)*O10*P10+IF(ISNUMBER(R10),R10,1)*S10*T10)*IF(ISNUMBER(E10),E10,1)</f>
        <v>1570</v>
      </c>
      <c r="W10" s="96">
        <f t="shared" ref="W10:W15" si="18">IFERROR((IF(ISNUMBER(F10),F10,1)*G10*H10+IF(ISNUMBER(J10),J10,1)*K10*L10+IF(ISNUMBER(N10),N10,1)*O10*P10+IF(ISNUMBER(R10),R10,1)*S10*T10)*IF(ISNUMBER(E10),E10,1)/(G10*H10+K10*L10+O10*P10+S10*T10),0)</f>
        <v>30.19230769</v>
      </c>
      <c r="X10" s="97">
        <f t="shared" ref="X10:X15" si="19">ROUND(IFERROR((W10/(Y10*IF(ISNUMBER(E10),E10,1))),0),2)</f>
        <v>0.55</v>
      </c>
      <c r="Y10" s="98">
        <v>55.0</v>
      </c>
      <c r="Z10" s="96" t="str">
        <f t="shared" ref="Z10:Z15" si="20">(IF(I10&lt;30%,0,IF(I10&lt;35%,F10*G10*H10*F!$B$33,IF(I10&lt;40%,F10*G10*H10*F!$B$38,IF(I10&lt;45%,F10*G10*H10*F!$B$43,IF(I10&lt;50%,F10*G10*H10*F!$B$48,IF(I10=50%,F10*G10*H10*F!$B$50,IF(I10=51%,F10*G10*H10*F!$B$51,IF(I10=52%,F10*G10*H10*F!$B$52,IF(I10=53%,F10*G10*H10*F!$B$53,IF(I10=54%,F10*G10*H10*F!$B$54,IF(I10=55%,F10*G10*H10*F!$B$55,IF(I10=56%,F10*G10*H10*F!$B$56,IF(I10=57%,F10*G10*H10*F!$B$57,IF(I10=58%,F10*G10*H10*F!$B$58,IF(I10=59%,F10*G10*H10*F!$B$59,IF(I10=60%,F10*G10*H10*F!$B$60,IF(I10=61%,F10*G10*H10*F!$B$61,IF(I10=62%,F10*G10*H10*F!$B$62,IF(I10=63%,F10*G10*H10*F!$B$63,IF(I10=64%,F10*G10*H10*F!$B$64,IF(I10=65%,F10*G10*H10*F!$B$65,IF(I10=66%,F10*G10*H10*F!$B$66,IF(I10=67%,F10*G10*H10*F!$B$67,IF(I10=68%,F10*G10*H10*F!$B$68,IF(I10=69%,F10*G10*H10*F!$B$69,IF(I10=70%,F10*G10*H10*F!$B$70,IF(I10=71%,F10*G10*H10*F!$B$71,IF(I10=72%,F10*G10*H10*F!$B$72,IF(I10=73%,F10*G10*H10*F!$B$73,IF(I10=74%,F10*G10*H10*F!$B$74,IF(I10=75%,F10*G10*H10*F!$B$75,IF(I10=76%,F10*G10*H10*F!$B$76,IF(I10=77%,F10*G10*H10*F!$B$77,IF(I10=78%,F10*G10*H10*F!$B$78,IF(I10=79%,F10*G10*H10*F!$B$79,IF(I10=80%,F10*G10*H10*F!$B$80,IF(I10=81%,F10*G10*H10*F!$B$81,IF(I10=82%,F10*G10*H10*F!$B$82,IF(I10=83%,F10*G10*H10*F!$B$83,IF(I10=84%,F10*G10*H10*F!$B$84,IF(I10=85%,F10*G10*H10*F!$B$85,IF(I10=86%,F10*G10*H10*F!$B$86,IF(I10=87%,F10*G10*H10*F!$B$87,IF(I10=88%,F10*G10*H10*F!$B$88,IF(I10=89%,F10*G10*H10*F!$B$89,IF(I10=90%,F10*G10*H10*F!$B$90,IF(I10=91%,F10*G10*H10*F!$B$91,IF(I10=92%,F10*G10*H10*F!$B$92,IF(I10=93%,F10*G10*H10*F!$B$93,IF(I10=94%,F10*G10*H10*F!$B$94,IF(I10=95%,F10*G10*H10*F!$B$95,IF(I10=96%,F10*G10*H10*F!$B$96,IF(I10=97%,F10*G10*H10*F!$B$97,IF(I10=98%,F10*G10*H10*F!$B$98,IF(I10=99%,F10*G10*H10*F!$B$99,IF(I10&gt;99%,F10*G10*H10*F!$B$100,))))))))))))))))))))))))))))))))))))))))))))))))))))))))+IF(M10&lt;30%,0,IF(M10&lt;35%,J10*K10*L10*F!$B$33,IF(M10&lt;40%,J10*K10*L10*F!$B$38,IF(M10&lt;45%,J10*K10*L10*F!$B$43,IF(M10&lt;50%,J10*K10*L10*F!$B$48,IF(M10=50%,J10*K10*L10*F!$B$50,IF(M10=51%,J10*K10*L10*F!$B$51,IF(M10=52%,J10*K10*L10*F!$B$52,IF(M10=53%,J10*K10*L10*F!$B$53,IF(M10=54%,J10*K10*L10*F!$B$54,IF(M10=55%,J10*K10*L10*F!$B$55,IF(M10=56%,J10*K10*L10*F!$B$56,IF(M10=57%,J10*K10*L10*F!$B$57,IF(M10=58%,J10*K10*L10*F!$B$58,IF(M10=59%,J10*K10*L10*F!$B$59,IF(M10=60%,J10*K10*L10*F!$B$60,IF(M10=61%,J10*K10*L10*F!$B$61,IF(M10=62%,J10*K10*L10*F!$B$62,IF(M10=63%,J10*K10*L10*F!$B$63,IF(M10=64%,J10*K10*L10*F!$B$64,IF(M10=65%,J10*K10*L10*F!$B$65,IF(M10=66%,J10*K10*L10*F!$B$66,IF(M10=67%,J10*K10*L10*F!$B$67,IF(M10=68%,J10*K10*L10*F!$B$68,IF(M10=69%,J10*K10*L10*F!$B$69,IF(M10=70%,J10*K10*L10*F!$B$70,IF(M10=71%,J10*K10*L10*F!$B$71,IF(M10=72%,J10*K10*L10*F!$B$72,IF(M10=73%,J10*K10*L10*F!$B$73,IF(M10=74%,J10*K10*L10*F!$B$74,IF(M10=75%,J10*K10*L10*F!$B$75,IF(M10=76%,J10*K10*L10*F!$B$76,IF(M10=77%,J10*K10*L10*F!$B$77,IF(M10=78%,J10*K10*L10*F!$B$78,IF(M10=79%,J10*K10*L10*F!$B$79,IF(M10=80%,J10*K10*L10*F!$B$80,IF(M10=81%,J10*K10*L10*F!$B$81,IF(M10=82%,J10*K10*L10*F!$B$82,IF(M10=83%,J10*K10*L10*F!$B$83,IF(M10=84%,J10*K10*L10*F!$B$84,IF(M10=85%,J10*K10*L10*F!$B$85,IF(M10=86%,J10*K10*L10*F!$B$86,IF(M10=87%,J10*K10*L10*F!$B$87,IF(M10=88%,J10*K10*L10*F!$B$88,IF(M10=89%,J10*K10*L10*F!$B$89,IF(M10=90%,J10*K10*L10*F!$B$90,IF(M10=91%,J10*K10*L10*F!$B$91,IF(M10=92%,J10*K10*L10*F!$B$92,IF(M10=93%,J10*K10*L10*F!$B$93,IF(M10=94%,J10*K10*L10*F!$B$94,IF(M10=95%,J10*K10*L10*F!$B$95,IF(M10=96%,J10*K10*L10*F!$B$96,IF(M10=97%,J10*K10*L10*F!$B$97,IF(M10=98%,J10*K10*L10*F!$B$98,IF(M10=99%,J10*K10*L10*F!$B$99,IF(M10&gt;99%,J10*K10*L10*F!$B$100,))))))))))))))))))))))))))))))))))))))))))))))))))))))))+IF(Q10&lt;30%,0,IF(Q10&lt;35%,N10*O10*P10*F!$B$33,IF(Q10&lt;40%,N10*O10*P10*F!$B$38,IF(Q10&lt;45%,N10*O10*P10*F!$B$43,IF(Q10&lt;50%,N10*O10*P10*F!$B$48,IF(Q10=50%,N10*O10*P10*F!$B$50,IF(Q10=51%,N10*O10*P10*F!$B$51,IF(Q10=52%,N10*O10*P10*F!$B$52,IF(Q10=53%,N10*O10*P10*F!$B$53,IF(Q10=54%,N10*O10*P10*F!$B$54,IF(Q10=55%,N10*O10*P10*F!$B$55,IF(Q10=56%,N10*O10*P10*F!$B$56,IF(Q10=57%,N10*O10*P10*F!$B$57,IF(Q10=58%,N10*O10*P10*F!$B$58,IF(Q10=59%,N10*O10*P10*F!$B$59,IF(Q10=60%,N10*O10*P10*F!$B$60,IF(Q10=61%,N10*O10*P10*F!$B$61,IF(Q10=62%,N10*O10*P10*F!$B$62,IF(Q10=63%,N10*O10*P10*F!$B$63,IF(Q10=64%,N10*O10*P10*F!$B$64,IF(Q10=65%,N10*O10*P10*F!$B$65,IF(Q10=66%,N10*O10*P10*F!$B$66,IF(Q10=67%,N10*O10*P10*F!$B$67,IF(Q10=68%,N10*O10*P10*F!$B$68,IF(Q10=69%,N10*O10*P10*F!$B$69,IF(Q10=70%,N10*O10*P10*F!$B$70,IF(Q10=71%,N10*O10*P10*F!$B$71,IF(Q10=72%,N10*O10*P10*F!$B$72,IF(Q10=73%,N10*O10*P10*F!$B$73,IF(Q10=74%,N10*O10*P10*F!$B$74,IF(Q10=75%,N10*O10*P10*F!$B$75,IF(Q10=76%,N10*O10*P10*F!$B$76,IF(Q10=77%,N10*O10*P10*F!$B$77,IF(Q10=78%,N10*O10*P10*F!$B$78,IF(Q10=79%,N10*O10*P10*F!$B$79,IF(Q10=80%,N10*O10*P10*F!$B$80,IF(Q10=81%,N10*O10*P10*F!$B$81,IF(Q10=82%,N10*O10*P10*F!$B$82,IF(Q10=83%,N10*O10*P10*F!$B$83,IF(Q10=84%,N10*O10*P10*F!$B$84,IF(Q10=85%,N10*O10*P10*F!$B$85,IF(Q10=86%,N10*O10*P10*F!$B$86,IF(Q10=87%,N10*O10*P10*F!$B$87,IF(Q10=88%,N10*O10*P10*F!$B$88,IF(Q10=89%,N10*O10*P10*F!$B$89,IF(Q10=90%,N10*O10*P10*F!$B$90,IF(Q10=91%,N10*O10*P10*F!$B$91,IF(Q10=92%,N10*O10*P10*F!$B$92,IF(Q10=93%,N10*O10*P10*F!$B$93,IF(Q10=94%,N10*O10*P10*F!$B$94,IF(Q10=95%,N10*O10*P10*F!$B$95,IF(Q10=96%,N10*O10*P10*F!$B$96,IF(Q10=97%,N10*O10*P10*F!$B$97,IF(Q10=98%,N10*O10*P10*F!$B$98,IF(Q10=99%,N10*O10*P10*F!$B$99,IF(Q10&gt;99%,N10*O10*P10*F!$B$100,))))))))))))))))))))))))))))))))))))))))))))))))))))))))+IF(U10&lt;30%,0,IF(U10&lt;35%,R10*S10*T10*F!$B$33,IF(U10&lt;40%,R10*S10*T10*F!$B$38,IF(U10&lt;45%,R10*S10*T10*F!$B$43,IF(U10&lt;50%,R10*S10*T10*F!$B$48,IF(U10=50%,R10*S10*T10*F!$B$50,IF(U10=51%,R10*S10*T10*F!$B$51,IF(U10=52%,R10*S10*T10*F!$B$52,IF(U10=53%,R10*S10*T10*F!$B$53,IF(U10=54%,R10*S10*T10*F!$B$54,IF(U10=55%,R10*S10*T10*F!$B$55,IF(U10=56%,R10*S10*T10*F!$B$56,IF(U10=57%,R10*S10*T10*F!$B$57,IF(U10=58%,R10*S10*T10*F!$B$58,IF(U10=59%,R10*S10*T10*F!$B$59,IF(U10=60%,R10*S10*T10*F!$B$60,IF(U10=61%,R10*S10*T10*F!$B$61,IF(U10=62%,R10*S10*T10*F!$B$62,IF(U10=63%,R10*S10*T10*F!$B$63,IF(U10=64%,R10*S10*T10*F!$B$64,IF(U10=65%,R10*S10*T10*F!$B$65,IF(U10=66%,R10*S10*T10*F!$B$66,IF(U10=67%,R10*S10*T10*F!$B$67,IF(U10=68%,R10*S10*T10*F!$B$68,IF(U10=69%,R10*S10*T10*F!$B$69,IF(U10=70%,R10*S10*T10*F!$B$70,IF(U10=71%,R10*S10*T10*F!$B$71,IF(U10=72%,R10*S10*T10*F!$B$72,IF(U10=73%,R10*S10*T10*F!$B$73,IF(U10=74%,R10*S10*T10*F!$B$74,IF(U10=75%,R10*S10*T10*F!$B$75,IF(U10=76%,R10*S10*T10*F!$B$76,IF(U10=77%,R10*S10*T10*F!$B$77,IF(U10=78%,R10*S10*T10*F!$B$78,IF(U10=79%,R10*S10*T10*F!$B$79,IF(U10=80%,R10*S10*T10*F!$B$80,IF(U10=81%,R10*S10*T10*F!$B$81,IF(U10=82%,R10*S10*T10*F!$B$82,IF(U10=83%,R10*S10*T10*F!$B$83,IF(U10=84%,R10*S10*T10*F!$B$84,IF(U10=85%,R10*S10*T10*F!$B$85,IF(U10=86%,R10*S10*T10*F!$B$86,IF(U10=87%,R10*S10*T10*F!$B$87,IF(U10=88%,R10*S10*T10*F!$B$88,IF(U10=89%,R10*S10*T10*F!$B$89,IF(U10=90%,R10*S10*T10*F!$B$90,IF(U10=91%,R10*S10*T10*F!$B$91,IF(U10=92%,R10*S10*T10*F!$B$92,IF(U10=93%,R10*S10*T10*F!$B$93,IF(U10=94%,R10*S10*T10*F!$B$94,IF(U10=95%,R10*S10*T10*F!$B$95,IF(U10=96%,R10*S10*T10*F!$B$96,IF(U10=97%,R10*S10*T10*F!$B$97,IF(U10=98%,R10*S10*T10*F!$B$98,IF(U10=99%,R10*S10*T10*F!$B$99,IF(U10&gt;99%,R10*S10*T10*F!$B$100)))))))))))))))))))))))))))))))))))))))))))))))))))))))))*IF(ISNUMBER(E10),E10,1)*IF(ISNUMBER(D10),D10,1)</f>
        <v>#REF!</v>
      </c>
      <c r="AA10" s="93">
        <f t="shared" ref="AA10:AA15" si="21">G10*H10+K10*L10+O10*P10+S10*T10</f>
        <v>52</v>
      </c>
      <c r="AB10" s="99">
        <f t="shared" ref="AB10:AB15" si="22">(H10*(IF(I10&lt;45%,0.5,IF(I10&lt;55%,0.8,IF(I10&lt;65%,0.9,IF(I10&lt;75%,1,IF(I10&lt;85%,1.1,1.2))))))+L10*(IF(M10&lt;45%,0.5,IF(M10&lt;55%,0.8,IF(M10&lt;65%,0.9,IF(M10&lt;75%,1,IF(M10&lt;85%,1.1,1.2))))))+P10*(IF(Q10&lt;45%,0.5,IF(Q10&lt;55%,0.8,IF(Q10&lt;65%,0.9,IF(Q10&lt;75%,1,IF(Q10&lt;85%,1.1,1.2))))))+T10*(IF(U10&lt;45%,0.5,IF(U10&lt;55%,0.8,IF(U10&lt;65%,0.9,IF(U10&lt;75%,1,IF(U10&lt;85%,1.1,1.2)))))))*IF(D10&gt;=0.8,6,IF(D10&lt;=0.4,1.5,3))</f>
        <v>24.6</v>
      </c>
      <c r="AC10" s="100"/>
      <c r="AD10" s="39"/>
      <c r="AE10" s="39"/>
      <c r="AF10" s="40"/>
      <c r="AG10" s="41"/>
      <c r="AH10" s="39"/>
      <c r="AI10" s="39"/>
      <c r="AJ10" s="39"/>
      <c r="AK10" s="41"/>
      <c r="AL10" s="39"/>
      <c r="AM10" s="39"/>
      <c r="AN10" s="39"/>
      <c r="AO10" s="39"/>
      <c r="AP10" s="39"/>
      <c r="AQ10" s="39"/>
      <c r="AR10" s="41"/>
      <c r="AS10" s="42"/>
      <c r="AT10" s="3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</row>
    <row r="11">
      <c r="A11" s="43">
        <f>A4+2</f>
        <v>42333</v>
      </c>
      <c r="B11" s="101" t="s">
        <v>18</v>
      </c>
      <c r="C11" s="102" t="s">
        <v>30</v>
      </c>
      <c r="D11" s="46">
        <v>1.0</v>
      </c>
      <c r="E11" s="103">
        <v>2.0</v>
      </c>
      <c r="F11" s="59">
        <f t="shared" si="13"/>
        <v>6.3</v>
      </c>
      <c r="G11" s="60">
        <v>12.0</v>
      </c>
      <c r="H11" s="60">
        <v>1.0</v>
      </c>
      <c r="I11" s="61">
        <v>0.45</v>
      </c>
      <c r="J11" s="59">
        <f t="shared" si="14"/>
        <v>8.7</v>
      </c>
      <c r="K11" s="60">
        <v>10.0</v>
      </c>
      <c r="L11" s="60">
        <v>3.0</v>
      </c>
      <c r="M11" s="61">
        <v>0.62</v>
      </c>
      <c r="N11" s="59" t="str">
        <f t="shared" si="15"/>
        <v/>
      </c>
      <c r="O11" s="60"/>
      <c r="P11" s="60"/>
      <c r="Q11" s="61">
        <v>0.0</v>
      </c>
      <c r="R11" s="59" t="str">
        <f t="shared" si="16"/>
        <v/>
      </c>
      <c r="S11" s="60"/>
      <c r="T11" s="60"/>
      <c r="U11" s="61">
        <v>0.0</v>
      </c>
      <c r="V11" s="104">
        <f t="shared" si="17"/>
        <v>673.2</v>
      </c>
      <c r="W11" s="64">
        <f t="shared" si="18"/>
        <v>16.02857143</v>
      </c>
      <c r="X11" s="65">
        <f t="shared" si="19"/>
        <v>0.57</v>
      </c>
      <c r="Y11" s="55">
        <v>14.0</v>
      </c>
      <c r="Z11" s="64" t="str">
        <f t="shared" si="20"/>
        <v>#REF!</v>
      </c>
      <c r="AA11" s="60">
        <f t="shared" si="21"/>
        <v>42</v>
      </c>
      <c r="AB11" s="66">
        <f t="shared" si="22"/>
        <v>21</v>
      </c>
      <c r="AC11" s="9"/>
      <c r="AD11" s="39"/>
      <c r="AE11" s="39"/>
      <c r="AF11" s="40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41"/>
      <c r="AS11" s="42"/>
      <c r="AT11" s="3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</row>
    <row r="12">
      <c r="A12" s="57"/>
      <c r="B12" s="101" t="s">
        <v>20</v>
      </c>
      <c r="C12" s="102" t="s">
        <v>31</v>
      </c>
      <c r="D12" s="46">
        <v>0.3</v>
      </c>
      <c r="E12" s="103">
        <v>4.0</v>
      </c>
      <c r="F12" s="105">
        <f t="shared" si="13"/>
        <v>1.8</v>
      </c>
      <c r="G12" s="106">
        <v>12.0</v>
      </c>
      <c r="H12" s="106">
        <v>4.0</v>
      </c>
      <c r="I12" s="107">
        <v>0.35</v>
      </c>
      <c r="J12" s="105" t="str">
        <f t="shared" si="14"/>
        <v/>
      </c>
      <c r="K12" s="106"/>
      <c r="L12" s="106"/>
      <c r="M12" s="107">
        <v>0.0</v>
      </c>
      <c r="N12" s="105" t="str">
        <f t="shared" si="15"/>
        <v/>
      </c>
      <c r="O12" s="106"/>
      <c r="P12" s="106"/>
      <c r="Q12" s="107">
        <v>0.0</v>
      </c>
      <c r="R12" s="105" t="str">
        <f t="shared" si="16"/>
        <v/>
      </c>
      <c r="S12" s="106"/>
      <c r="T12" s="106"/>
      <c r="U12" s="107">
        <v>0.0</v>
      </c>
      <c r="V12" s="108">
        <f t="shared" si="17"/>
        <v>345.6</v>
      </c>
      <c r="W12" s="109">
        <f t="shared" si="18"/>
        <v>7.2</v>
      </c>
      <c r="X12" s="110">
        <f t="shared" si="19"/>
        <v>0.36</v>
      </c>
      <c r="Y12" s="55">
        <v>5.0</v>
      </c>
      <c r="Z12" s="109" t="str">
        <f t="shared" si="20"/>
        <v>#REF!</v>
      </c>
      <c r="AA12" s="106">
        <f t="shared" si="21"/>
        <v>48</v>
      </c>
      <c r="AB12" s="111">
        <f t="shared" si="22"/>
        <v>3</v>
      </c>
      <c r="AC12" s="9"/>
      <c r="AD12" s="9"/>
      <c r="AE12" s="9"/>
      <c r="AF12" s="112"/>
      <c r="AG12" s="9"/>
      <c r="AH12" s="39"/>
      <c r="AI12" s="39"/>
      <c r="AJ12" s="113"/>
      <c r="AK12" s="113"/>
      <c r="AL12" s="113"/>
      <c r="AM12" s="113"/>
      <c r="AN12" s="113"/>
      <c r="AO12" s="113"/>
      <c r="AP12" s="113"/>
      <c r="AQ12" s="9"/>
      <c r="AR12" s="100"/>
      <c r="AS12" s="114"/>
      <c r="AT12" s="3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</row>
    <row r="13">
      <c r="A13" s="57"/>
      <c r="B13" s="101" t="s">
        <v>18</v>
      </c>
      <c r="C13" s="102" t="s">
        <v>32</v>
      </c>
      <c r="D13" s="46">
        <v>0.3</v>
      </c>
      <c r="E13" s="103">
        <v>4.0</v>
      </c>
      <c r="F13" s="59">
        <f t="shared" si="13"/>
        <v>3.2</v>
      </c>
      <c r="G13" s="60">
        <v>12.0</v>
      </c>
      <c r="H13" s="60">
        <v>1.0</v>
      </c>
      <c r="I13" s="61">
        <v>0.4</v>
      </c>
      <c r="J13" s="59">
        <f t="shared" si="14"/>
        <v>4.4</v>
      </c>
      <c r="K13" s="60">
        <v>10.0</v>
      </c>
      <c r="L13" s="60">
        <v>3.0</v>
      </c>
      <c r="M13" s="61">
        <v>0.55</v>
      </c>
      <c r="N13" s="59" t="str">
        <f t="shared" si="15"/>
        <v/>
      </c>
      <c r="O13" s="60"/>
      <c r="P13" s="60"/>
      <c r="Q13" s="61">
        <v>0.0</v>
      </c>
      <c r="R13" s="59" t="str">
        <f t="shared" si="16"/>
        <v/>
      </c>
      <c r="S13" s="60"/>
      <c r="T13" s="60"/>
      <c r="U13" s="61">
        <v>0.0</v>
      </c>
      <c r="V13" s="104">
        <f t="shared" si="17"/>
        <v>681.6</v>
      </c>
      <c r="W13" s="64">
        <f t="shared" si="18"/>
        <v>16.22857143</v>
      </c>
      <c r="X13" s="65">
        <f t="shared" si="19"/>
        <v>0.51</v>
      </c>
      <c r="Y13" s="55">
        <v>8.0</v>
      </c>
      <c r="Z13" s="64" t="str">
        <f t="shared" si="20"/>
        <v>#REF!</v>
      </c>
      <c r="AA13" s="60">
        <f t="shared" si="21"/>
        <v>42</v>
      </c>
      <c r="AB13" s="66">
        <f t="shared" si="22"/>
        <v>4.8</v>
      </c>
      <c r="AC13" s="9"/>
      <c r="AD13" s="9"/>
      <c r="AE13" s="9"/>
      <c r="AF13" s="112"/>
      <c r="AG13" s="100"/>
      <c r="AH13" s="40"/>
      <c r="AI13" s="113"/>
      <c r="AJ13" s="113"/>
      <c r="AK13" s="115"/>
      <c r="AL13" s="113"/>
      <c r="AM13" s="113"/>
      <c r="AN13" s="113"/>
      <c r="AO13" s="115"/>
      <c r="AP13" s="113"/>
      <c r="AQ13" s="9"/>
      <c r="AR13" s="100"/>
      <c r="AS13" s="116"/>
      <c r="AT13" s="3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</row>
    <row r="14">
      <c r="A14" s="57"/>
      <c r="B14" s="101" t="s">
        <v>23</v>
      </c>
      <c r="C14" s="102" t="s">
        <v>33</v>
      </c>
      <c r="D14" s="46">
        <v>0.3</v>
      </c>
      <c r="E14" s="103">
        <v>4.0</v>
      </c>
      <c r="F14" s="105">
        <f t="shared" si="13"/>
        <v>4.1</v>
      </c>
      <c r="G14" s="106">
        <v>12.0</v>
      </c>
      <c r="H14" s="106">
        <v>1.0</v>
      </c>
      <c r="I14" s="107">
        <v>0.45</v>
      </c>
      <c r="J14" s="105">
        <f t="shared" si="14"/>
        <v>5.4</v>
      </c>
      <c r="K14" s="106">
        <v>10.0</v>
      </c>
      <c r="L14" s="106">
        <v>1.0</v>
      </c>
      <c r="M14" s="107">
        <v>0.6</v>
      </c>
      <c r="N14" s="105">
        <f t="shared" si="15"/>
        <v>6.1</v>
      </c>
      <c r="O14" s="106">
        <v>10.0</v>
      </c>
      <c r="P14" s="106">
        <v>2.0</v>
      </c>
      <c r="Q14" s="107">
        <v>0.68</v>
      </c>
      <c r="R14" s="105" t="str">
        <f t="shared" si="16"/>
        <v/>
      </c>
      <c r="S14" s="106"/>
      <c r="T14" s="106"/>
      <c r="U14" s="107">
        <v>0.0</v>
      </c>
      <c r="V14" s="108">
        <f t="shared" si="17"/>
        <v>900.8</v>
      </c>
      <c r="W14" s="109">
        <f t="shared" si="18"/>
        <v>21.44761905</v>
      </c>
      <c r="X14" s="117">
        <f t="shared" si="19"/>
        <v>0.6</v>
      </c>
      <c r="Y14" s="55">
        <v>9.0</v>
      </c>
      <c r="Z14" s="109" t="str">
        <f t="shared" si="20"/>
        <v>#REF!</v>
      </c>
      <c r="AA14" s="106">
        <f t="shared" si="21"/>
        <v>42</v>
      </c>
      <c r="AB14" s="111">
        <f t="shared" si="22"/>
        <v>5.55</v>
      </c>
      <c r="AC14" s="9"/>
      <c r="AD14" s="9"/>
      <c r="AE14" s="9"/>
      <c r="AF14" s="40"/>
      <c r="AG14" s="39"/>
      <c r="AH14" s="113"/>
      <c r="AI14" s="113"/>
      <c r="AJ14" s="113"/>
      <c r="AK14" s="113"/>
      <c r="AL14" s="113"/>
      <c r="AM14" s="113"/>
      <c r="AN14" s="113"/>
      <c r="AO14" s="113"/>
      <c r="AP14" s="113"/>
      <c r="AQ14" s="9"/>
      <c r="AR14" s="100"/>
      <c r="AS14" s="114"/>
      <c r="AT14" s="3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</row>
    <row r="15">
      <c r="A15" s="57"/>
      <c r="B15" s="101" t="s">
        <v>20</v>
      </c>
      <c r="C15" s="102" t="s">
        <v>34</v>
      </c>
      <c r="D15" s="46">
        <v>0.3</v>
      </c>
      <c r="E15" s="103">
        <v>4.0</v>
      </c>
      <c r="F15" s="59">
        <f t="shared" si="13"/>
        <v>1.3</v>
      </c>
      <c r="G15" s="60">
        <v>12.0</v>
      </c>
      <c r="H15" s="60">
        <v>4.0</v>
      </c>
      <c r="I15" s="61">
        <v>0.32</v>
      </c>
      <c r="J15" s="59" t="str">
        <f t="shared" si="14"/>
        <v/>
      </c>
      <c r="K15" s="60"/>
      <c r="L15" s="60"/>
      <c r="M15" s="61">
        <v>0.0</v>
      </c>
      <c r="N15" s="59" t="str">
        <f t="shared" si="15"/>
        <v/>
      </c>
      <c r="O15" s="60"/>
      <c r="P15" s="60"/>
      <c r="Q15" s="61">
        <v>0.0</v>
      </c>
      <c r="R15" s="59" t="str">
        <f t="shared" si="16"/>
        <v/>
      </c>
      <c r="S15" s="60"/>
      <c r="T15" s="60"/>
      <c r="U15" s="61">
        <v>0.0</v>
      </c>
      <c r="V15" s="104">
        <f t="shared" si="17"/>
        <v>249.6</v>
      </c>
      <c r="W15" s="64">
        <f t="shared" si="18"/>
        <v>5.2</v>
      </c>
      <c r="X15" s="65">
        <f t="shared" si="19"/>
        <v>0.33</v>
      </c>
      <c r="Y15" s="55">
        <v>4.0</v>
      </c>
      <c r="Z15" s="64" t="str">
        <f t="shared" si="20"/>
        <v>#REF!</v>
      </c>
      <c r="AA15" s="60">
        <f t="shared" si="21"/>
        <v>48</v>
      </c>
      <c r="AB15" s="66">
        <f t="shared" si="22"/>
        <v>3</v>
      </c>
      <c r="AC15" s="9"/>
      <c r="AD15" s="9"/>
      <c r="AE15" s="9"/>
      <c r="AF15" s="40"/>
      <c r="AG15" s="39"/>
      <c r="AH15" s="9"/>
      <c r="AI15" s="9"/>
      <c r="AJ15" s="9"/>
      <c r="AK15" s="9"/>
      <c r="AL15" s="9"/>
      <c r="AM15" s="9"/>
      <c r="AN15" s="9"/>
      <c r="AO15" s="9"/>
      <c r="AP15" s="9"/>
      <c r="AQ15" s="118"/>
      <c r="AR15" s="9"/>
      <c r="AS15" s="114"/>
      <c r="AT15" s="118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</row>
    <row r="16">
      <c r="A16" s="72"/>
      <c r="B16" s="119"/>
      <c r="C16" s="120" t="s">
        <v>35</v>
      </c>
      <c r="D16" s="75">
        <f>ROUND(IFERROR((D10*(G10*H10+K10*L10+O10*P10+S10*T10)+D11*(G11*H11+K11*L11+O11*P11+S11*T11)+D12*(G12*H12+K12*L12+O12*P12+S12*T12)+D13*(G13*H13+K13*L13+O13*P13+S13*T13)+D14*(G14*H14+K14*L14+O14*P14+S14*T14)+D15*(G15*H15+K15*L15+O15*P15+S15*T15))/((G10*H10+K10*L10+O10*P10+S10*T10)+(G11*H11+K11*L11+O11*P11+S11*T11)+(G12*H12+K12*L12+O12*P12+S12*T12)+(G13*H13+K13*L13+O13*P13+S13*T13)+(G14*H14+K14*L14+O14*P14+S14*T14)+(G15*H15+K15*L15+O15*P15+S15*T15)),0),2)</f>
        <v>0.54</v>
      </c>
      <c r="E16" s="121"/>
      <c r="F16" s="122"/>
      <c r="G16" s="123"/>
      <c r="H16" s="123"/>
      <c r="I16" s="124"/>
      <c r="J16" s="122"/>
      <c r="K16" s="123"/>
      <c r="L16" s="123"/>
      <c r="M16" s="124"/>
      <c r="N16" s="122"/>
      <c r="O16" s="123"/>
      <c r="P16" s="123"/>
      <c r="Q16" s="124"/>
      <c r="R16" s="122"/>
      <c r="S16" s="123"/>
      <c r="T16" s="123"/>
      <c r="U16" s="124"/>
      <c r="V16" s="125">
        <f>SUM(V10:V15)</f>
        <v>4420.8</v>
      </c>
      <c r="W16" s="82">
        <f>IFERROR(V16/AA16,0)</f>
        <v>16.13430657</v>
      </c>
      <c r="X16" s="83">
        <f>ROUND(IFERROR(((I10*G10*H10+M10*K10*L10+Q10*O10*P10+U10*S10*T10)+(I11*G11*H11+M11*K11*L11+Q11*O11*P11+U11*S11*T11)+(I12*G12*H12+M12*K12*L12+Q12*O12*P12+U12*S12*T12)+(I13*G13*H13+M13*K13*L13+Q13*O13*P13+U13*S13*T13)+(I14*G14*H14+M14*K14*L14+Q14*O14*P14+U14*S14*T14)+(I15*G15*H15+M15*K15*L15+Q15*O15*P15+U15*S15*T15))/((G10*H10+K10*L10+O10*P10+S10*T10)+(G11*H11+K11*L11+O11*P11+S11*T11)+(G12*H12+K12*L12+O12*P12+S12*T12)+(G13*H13+K13*L13+O13*P13+S13*T13)+(G14*H14+K14*L14+O14*P14+S14*T14)+(G15*H15+K15*L15+O15*P15+S15*T15)),0),3)</f>
        <v>0.479</v>
      </c>
      <c r="Y16" s="84"/>
      <c r="Z16" s="82" t="str">
        <f t="shared" ref="Z16:AA16" si="23">SUM(Z10:Z15)</f>
        <v>#REF!</v>
      </c>
      <c r="AA16" s="85">
        <f t="shared" si="23"/>
        <v>274</v>
      </c>
      <c r="AB16" s="86">
        <f>IF(SUM(AB10:AB15)=0,TIME(,0,),TIME(,SUM(AB10:AB15)+30,))</f>
        <v>0.06319444444</v>
      </c>
      <c r="AC16" s="9"/>
      <c r="AD16" s="9"/>
      <c r="AE16" s="9"/>
      <c r="AF16" s="40"/>
      <c r="AG16" s="39"/>
      <c r="AH16" s="113"/>
      <c r="AI16" s="113"/>
      <c r="AJ16" s="113"/>
      <c r="AK16" s="113"/>
      <c r="AL16" s="113"/>
      <c r="AM16" s="113"/>
      <c r="AN16" s="113"/>
      <c r="AO16" s="113"/>
      <c r="AP16" s="113"/>
      <c r="AQ16" s="9"/>
      <c r="AR16" s="100"/>
      <c r="AS16" s="114"/>
      <c r="AT16" s="3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</row>
    <row r="17">
      <c r="A17" s="126" t="s">
        <v>36</v>
      </c>
      <c r="B17" s="127" t="s">
        <v>18</v>
      </c>
      <c r="C17" s="128" t="s">
        <v>37</v>
      </c>
      <c r="D17" s="29">
        <v>1.3</v>
      </c>
      <c r="E17" s="129"/>
      <c r="F17" s="31">
        <f t="shared" ref="F17:F22" si="24">IF(I17&lt;&gt;0,(IFERROR(IF($Y17&gt;50,MROUND($Y17*I17,2.5),IF($Y17&lt;15,MROUND($Y17*I17,0.1),MROUND($Y17*I17,1))),)),"")</f>
        <v>45</v>
      </c>
      <c r="G17" s="32">
        <v>12.0</v>
      </c>
      <c r="H17" s="32">
        <v>1.0</v>
      </c>
      <c r="I17" s="33">
        <v>0.45</v>
      </c>
      <c r="J17" s="31">
        <f t="shared" ref="J17:J22" si="25">IF(M17&lt;&gt;0,(IFERROR(IF($Y17&gt;50,MROUND($Y17*M17,2.5),IF($Y17&lt;15,MROUND($Y17*M17,0.1),MROUND($Y17*M17,1))),)),"")</f>
        <v>55</v>
      </c>
      <c r="K17" s="32">
        <v>10.0</v>
      </c>
      <c r="L17" s="32">
        <v>3.0</v>
      </c>
      <c r="M17" s="33">
        <v>0.56</v>
      </c>
      <c r="N17" s="31" t="str">
        <f t="shared" ref="N17:N22" si="26">IF(Q17&lt;&gt;0,(IFERROR(IF($Y17&gt;50,MROUND($Y17*Q17,2.5),IF($Y17&lt;15,MROUND($Y17*Q17,0.1),MROUND($Y17*Q17,1))),)),"")</f>
        <v/>
      </c>
      <c r="O17" s="32"/>
      <c r="P17" s="32"/>
      <c r="Q17" s="33">
        <v>0.0</v>
      </c>
      <c r="R17" s="31" t="str">
        <f t="shared" ref="R17:R22" si="27">IF(U17&lt;&gt;0,(IFERROR(IF($Y17&gt;50,MROUND($Y17*U17,2.5),IF($Y17&lt;15,MROUND($Y17*U17,0.1),MROUND($Y17*U17,1))),)),"")</f>
        <v/>
      </c>
      <c r="S17" s="32"/>
      <c r="T17" s="32"/>
      <c r="U17" s="33">
        <v>0.0</v>
      </c>
      <c r="V17" s="130">
        <f t="shared" ref="V17:V22" si="28">(IF(ISNUMBER(F17),F17,1)*G17*H17+IF(ISNUMBER(J17),J17,1)*K17*L17+IF(ISNUMBER(N17),N17,1)*O17*P17+IF(ISNUMBER(R17),R17,1)*S17*T17)*IF(ISNUMBER(E17),E17,1)</f>
        <v>2190</v>
      </c>
      <c r="W17" s="36">
        <f t="shared" ref="W17:W22" si="29">IFERROR((IF(ISNUMBER(F17),F17,1)*G17*H17+IF(ISNUMBER(J17),J17,1)*K17*L17+IF(ISNUMBER(N17),N17,1)*O17*P17+IF(ISNUMBER(R17),R17,1)*S17*T17)*IF(ISNUMBER(E17),E17,1)/(G17*H17+K17*L17+O17*P17+S17*T17),0)</f>
        <v>52.14285714</v>
      </c>
      <c r="X17" s="34">
        <f t="shared" ref="X17:X22" si="30">ROUND(IFERROR((W17/(Y17*IF(ISNUMBER(E17),E17,1))),0),2)</f>
        <v>0.52</v>
      </c>
      <c r="Y17" s="98">
        <v>100.0</v>
      </c>
      <c r="Z17" s="36" t="str">
        <f t="shared" ref="Z17:Z22" si="31">(IF(I17&lt;30%,0,IF(I17&lt;35%,F17*G17*H17*F!$B$33,IF(I17&lt;40%,F17*G17*H17*F!$B$38,IF(I17&lt;45%,F17*G17*H17*F!$B$43,IF(I17&lt;50%,F17*G17*H17*F!$B$48,IF(I17=50%,F17*G17*H17*F!$B$50,IF(I17=51%,F17*G17*H17*F!$B$51,IF(I17=52%,F17*G17*H17*F!$B$52,IF(I17=53%,F17*G17*H17*F!$B$53,IF(I17=54%,F17*G17*H17*F!$B$54,IF(I17=55%,F17*G17*H17*F!$B$55,IF(I17=56%,F17*G17*H17*F!$B$56,IF(I17=57%,F17*G17*H17*F!$B$57,IF(I17=58%,F17*G17*H17*F!$B$58,IF(I17=59%,F17*G17*H17*F!$B$59,IF(I17=60%,F17*G17*H17*F!$B$60,IF(I17=61%,F17*G17*H17*F!$B$61,IF(I17=62%,F17*G17*H17*F!$B$62,IF(I17=63%,F17*G17*H17*F!$B$63,IF(I17=64%,F17*G17*H17*F!$B$64,IF(I17=65%,F17*G17*H17*F!$B$65,IF(I17=66%,F17*G17*H17*F!$B$66,IF(I17=67%,F17*G17*H17*F!$B$67,IF(I17=68%,F17*G17*H17*F!$B$68,IF(I17=69%,F17*G17*H17*F!$B$69,IF(I17=70%,F17*G17*H17*F!$B$70,IF(I17=71%,F17*G17*H17*F!$B$71,IF(I17=72%,F17*G17*H17*F!$B$72,IF(I17=73%,F17*G17*H17*F!$B$73,IF(I17=74%,F17*G17*H17*F!$B$74,IF(I17=75%,F17*G17*H17*F!$B$75,IF(I17=76%,F17*G17*H17*F!$B$76,IF(I17=77%,F17*G17*H17*F!$B$77,IF(I17=78%,F17*G17*H17*F!$B$78,IF(I17=79%,F17*G17*H17*F!$B$79,IF(I17=80%,F17*G17*H17*F!$B$80,IF(I17=81%,F17*G17*H17*F!$B$81,IF(I17=82%,F17*G17*H17*F!$B$82,IF(I17=83%,F17*G17*H17*F!$B$83,IF(I17=84%,F17*G17*H17*F!$B$84,IF(I17=85%,F17*G17*H17*F!$B$85,IF(I17=86%,F17*G17*H17*F!$B$86,IF(I17=87%,F17*G17*H17*F!$B$87,IF(I17=88%,F17*G17*H17*F!$B$88,IF(I17=89%,F17*G17*H17*F!$B$89,IF(I17=90%,F17*G17*H17*F!$B$90,IF(I17=91%,F17*G17*H17*F!$B$91,IF(I17=92%,F17*G17*H17*F!$B$92,IF(I17=93%,F17*G17*H17*F!$B$93,IF(I17=94%,F17*G17*H17*F!$B$94,IF(I17=95%,F17*G17*H17*F!$B$95,IF(I17=96%,F17*G17*H17*F!$B$96,IF(I17=97%,F17*G17*H17*F!$B$97,IF(I17=98%,F17*G17*H17*F!$B$98,IF(I17=99%,F17*G17*H17*F!$B$99,IF(I17&gt;99%,F17*G17*H17*F!$B$100,))))))))))))))))))))))))))))))))))))))))))))))))))))))))+IF(M17&lt;30%,0,IF(M17&lt;35%,J17*K17*L17*F!$B$33,IF(M17&lt;40%,J17*K17*L17*F!$B$38,IF(M17&lt;45%,J17*K17*L17*F!$B$43,IF(M17&lt;50%,J17*K17*L17*F!$B$48,IF(M17=50%,J17*K17*L17*F!$B$50,IF(M17=51%,J17*K17*L17*F!$B$51,IF(M17=52%,J17*K17*L17*F!$B$52,IF(M17=53%,J17*K17*L17*F!$B$53,IF(M17=54%,J17*K17*L17*F!$B$54,IF(M17=55%,J17*K17*L17*F!$B$55,IF(M17=56%,J17*K17*L17*F!$B$56,IF(M17=57%,J17*K17*L17*F!$B$57,IF(M17=58%,J17*K17*L17*F!$B$58,IF(M17=59%,J17*K17*L17*F!$B$59,IF(M17=60%,J17*K17*L17*F!$B$60,IF(M17=61%,J17*K17*L17*F!$B$61,IF(M17=62%,J17*K17*L17*F!$B$62,IF(M17=63%,J17*K17*L17*F!$B$63,IF(M17=64%,J17*K17*L17*F!$B$64,IF(M17=65%,J17*K17*L17*F!$B$65,IF(M17=66%,J17*K17*L17*F!$B$66,IF(M17=67%,J17*K17*L17*F!$B$67,IF(M17=68%,J17*K17*L17*F!$B$68,IF(M17=69%,J17*K17*L17*F!$B$69,IF(M17=70%,J17*K17*L17*F!$B$70,IF(M17=71%,J17*K17*L17*F!$B$71,IF(M17=72%,J17*K17*L17*F!$B$72,IF(M17=73%,J17*K17*L17*F!$B$73,IF(M17=74%,J17*K17*L17*F!$B$74,IF(M17=75%,J17*K17*L17*F!$B$75,IF(M17=76%,J17*K17*L17*F!$B$76,IF(M17=77%,J17*K17*L17*F!$B$77,IF(M17=78%,J17*K17*L17*F!$B$78,IF(M17=79%,J17*K17*L17*F!$B$79,IF(M17=80%,J17*K17*L17*F!$B$80,IF(M17=81%,J17*K17*L17*F!$B$81,IF(M17=82%,J17*K17*L17*F!$B$82,IF(M17=83%,J17*K17*L17*F!$B$83,IF(M17=84%,J17*K17*L17*F!$B$84,IF(M17=85%,J17*K17*L17*F!$B$85,IF(M17=86%,J17*K17*L17*F!$B$86,IF(M17=87%,J17*K17*L17*F!$B$87,IF(M17=88%,J17*K17*L17*F!$B$88,IF(M17=89%,J17*K17*L17*F!$B$89,IF(M17=90%,J17*K17*L17*F!$B$90,IF(M17=91%,J17*K17*L17*F!$B$91,IF(M17=92%,J17*K17*L17*F!$B$92,IF(M17=93%,J17*K17*L17*F!$B$93,IF(M17=94%,J17*K17*L17*F!$B$94,IF(M17=95%,J17*K17*L17*F!$B$95,IF(M17=96%,J17*K17*L17*F!$B$96,IF(M17=97%,J17*K17*L17*F!$B$97,IF(M17=98%,J17*K17*L17*F!$B$98,IF(M17=99%,J17*K17*L17*F!$B$99,IF(M17&gt;99%,J17*K17*L17*F!$B$100,))))))))))))))))))))))))))))))))))))))))))))))))))))))))+IF(Q17&lt;30%,0,IF(Q17&lt;35%,N17*O17*P17*F!$B$33,IF(Q17&lt;40%,N17*O17*P17*F!$B$38,IF(Q17&lt;45%,N17*O17*P17*F!$B$43,IF(Q17&lt;50%,N17*O17*P17*F!$B$48,IF(Q17=50%,N17*O17*P17*F!$B$50,IF(Q17=51%,N17*O17*P17*F!$B$51,IF(Q17=52%,N17*O17*P17*F!$B$52,IF(Q17=53%,N17*O17*P17*F!$B$53,IF(Q17=54%,N17*O17*P17*F!$B$54,IF(Q17=55%,N17*O17*P17*F!$B$55,IF(Q17=56%,N17*O17*P17*F!$B$56,IF(Q17=57%,N17*O17*P17*F!$B$57,IF(Q17=58%,N17*O17*P17*F!$B$58,IF(Q17=59%,N17*O17*P17*F!$B$59,IF(Q17=60%,N17*O17*P17*F!$B$60,IF(Q17=61%,N17*O17*P17*F!$B$61,IF(Q17=62%,N17*O17*P17*F!$B$62,IF(Q17=63%,N17*O17*P17*F!$B$63,IF(Q17=64%,N17*O17*P17*F!$B$64,IF(Q17=65%,N17*O17*P17*F!$B$65,IF(Q17=66%,N17*O17*P17*F!$B$66,IF(Q17=67%,N17*O17*P17*F!$B$67,IF(Q17=68%,N17*O17*P17*F!$B$68,IF(Q17=69%,N17*O17*P17*F!$B$69,IF(Q17=70%,N17*O17*P17*F!$B$70,IF(Q17=71%,N17*O17*P17*F!$B$71,IF(Q17=72%,N17*O17*P17*F!$B$72,IF(Q17=73%,N17*O17*P17*F!$B$73,IF(Q17=74%,N17*O17*P17*F!$B$74,IF(Q17=75%,N17*O17*P17*F!$B$75,IF(Q17=76%,N17*O17*P17*F!$B$76,IF(Q17=77%,N17*O17*P17*F!$B$77,IF(Q17=78%,N17*O17*P17*F!$B$78,IF(Q17=79%,N17*O17*P17*F!$B$79,IF(Q17=80%,N17*O17*P17*F!$B$80,IF(Q17=81%,N17*O17*P17*F!$B$81,IF(Q17=82%,N17*O17*P17*F!$B$82,IF(Q17=83%,N17*O17*P17*F!$B$83,IF(Q17=84%,N17*O17*P17*F!$B$84,IF(Q17=85%,N17*O17*P17*F!$B$85,IF(Q17=86%,N17*O17*P17*F!$B$86,IF(Q17=87%,N17*O17*P17*F!$B$87,IF(Q17=88%,N17*O17*P17*F!$B$88,IF(Q17=89%,N17*O17*P17*F!$B$89,IF(Q17=90%,N17*O17*P17*F!$B$90,IF(Q17=91%,N17*O17*P17*F!$B$91,IF(Q17=92%,N17*O17*P17*F!$B$92,IF(Q17=93%,N17*O17*P17*F!$B$93,IF(Q17=94%,N17*O17*P17*F!$B$94,IF(Q17=95%,N17*O17*P17*F!$B$95,IF(Q17=96%,N17*O17*P17*F!$B$96,IF(Q17=97%,N17*O17*P17*F!$B$97,IF(Q17=98%,N17*O17*P17*F!$B$98,IF(Q17=99%,N17*O17*P17*F!$B$99,IF(Q17&gt;99%,N17*O17*P17*F!$B$100,))))))))))))))))))))))))))))))))))))))))))))))))))))))))+IF(U17&lt;30%,0,IF(U17&lt;35%,R17*S17*T17*F!$B$33,IF(U17&lt;40%,R17*S17*T17*F!$B$38,IF(U17&lt;45%,R17*S17*T17*F!$B$43,IF(U17&lt;50%,R17*S17*T17*F!$B$48,IF(U17=50%,R17*S17*T17*F!$B$50,IF(U17=51%,R17*S17*T17*F!$B$51,IF(U17=52%,R17*S17*T17*F!$B$52,IF(U17=53%,R17*S17*T17*F!$B$53,IF(U17=54%,R17*S17*T17*F!$B$54,IF(U17=55%,R17*S17*T17*F!$B$55,IF(U17=56%,R17*S17*T17*F!$B$56,IF(U17=57%,R17*S17*T17*F!$B$57,IF(U17=58%,R17*S17*T17*F!$B$58,IF(U17=59%,R17*S17*T17*F!$B$59,IF(U17=60%,R17*S17*T17*F!$B$60,IF(U17=61%,R17*S17*T17*F!$B$61,IF(U17=62%,R17*S17*T17*F!$B$62,IF(U17=63%,R17*S17*T17*F!$B$63,IF(U17=64%,R17*S17*T17*F!$B$64,IF(U17=65%,R17*S17*T17*F!$B$65,IF(U17=66%,R17*S17*T17*F!$B$66,IF(U17=67%,R17*S17*T17*F!$B$67,IF(U17=68%,R17*S17*T17*F!$B$68,IF(U17=69%,R17*S17*T17*F!$B$69,IF(U17=70%,R17*S17*T17*F!$B$70,IF(U17=71%,R17*S17*T17*F!$B$71,IF(U17=72%,R17*S17*T17*F!$B$72,IF(U17=73%,R17*S17*T17*F!$B$73,IF(U17=74%,R17*S17*T17*F!$B$74,IF(U17=75%,R17*S17*T17*F!$B$75,IF(U17=76%,R17*S17*T17*F!$B$76,IF(U17=77%,R17*S17*T17*F!$B$77,IF(U17=78%,R17*S17*T17*F!$B$78,IF(U17=79%,R17*S17*T17*F!$B$79,IF(U17=80%,R17*S17*T17*F!$B$80,IF(U17=81%,R17*S17*T17*F!$B$81,IF(U17=82%,R17*S17*T17*F!$B$82,IF(U17=83%,R17*S17*T17*F!$B$83,IF(U17=84%,R17*S17*T17*F!$B$84,IF(U17=85%,R17*S17*T17*F!$B$85,IF(U17=86%,R17*S17*T17*F!$B$86,IF(U17=87%,R17*S17*T17*F!$B$87,IF(U17=88%,R17*S17*T17*F!$B$88,IF(U17=89%,R17*S17*T17*F!$B$89,IF(U17=90%,R17*S17*T17*F!$B$90,IF(U17=91%,R17*S17*T17*F!$B$91,IF(U17=92%,R17*S17*T17*F!$B$92,IF(U17=93%,R17*S17*T17*F!$B$93,IF(U17=94%,R17*S17*T17*F!$B$94,IF(U17=95%,R17*S17*T17*F!$B$95,IF(U17=96%,R17*S17*T17*F!$B$96,IF(U17=97%,R17*S17*T17*F!$B$97,IF(U17=98%,R17*S17*T17*F!$B$98,IF(U17=99%,R17*S17*T17*F!$B$99,IF(U17&gt;99%,R17*S17*T17*F!$B$100)))))))))))))))))))))))))))))))))))))))))))))))))))))))))*IF(ISNUMBER(E17),E17,1)*IF(ISNUMBER(D17),D17,1)</f>
        <v>#REF!</v>
      </c>
      <c r="AA17" s="32">
        <f t="shared" ref="AA17:AA22" si="32">G17*H17+K17*L17+O17*P17+S17*T17</f>
        <v>42</v>
      </c>
      <c r="AB17" s="38">
        <f t="shared" ref="AB17:AB22" si="33">(H17*(IF(I17&lt;45%,0.5,IF(I17&lt;55%,0.8,IF(I17&lt;65%,0.9,IF(I17&lt;75%,1,IF(I17&lt;85%,1.1,1.2))))))+L17*(IF(M17&lt;45%,0.5,IF(M17&lt;55%,0.8,IF(M17&lt;65%,0.9,IF(M17&lt;75%,1,IF(M17&lt;85%,1.1,1.2))))))+P17*(IF(Q17&lt;45%,0.5,IF(Q17&lt;55%,0.8,IF(Q17&lt;65%,0.9,IF(Q17&lt;75%,1,IF(Q17&lt;85%,1.1,1.2))))))+T17*(IF(U17&lt;45%,0.5,IF(U17&lt;55%,0.8,IF(U17&lt;65%,0.9,IF(U17&lt;75%,1,IF(U17&lt;85%,1.1,1.2)))))))*IF(D17&gt;=0.8,6,IF(D17&lt;=0.4,1.5,3))</f>
        <v>21</v>
      </c>
      <c r="AC17" s="9"/>
      <c r="AD17" s="9"/>
      <c r="AE17" s="9"/>
      <c r="AF17" s="40"/>
      <c r="AG17" s="39"/>
      <c r="AH17" s="113"/>
      <c r="AI17" s="113"/>
      <c r="AJ17" s="113"/>
      <c r="AK17" s="113"/>
      <c r="AL17" s="113"/>
      <c r="AM17" s="113"/>
      <c r="AN17" s="113"/>
      <c r="AO17" s="113"/>
      <c r="AP17" s="113"/>
      <c r="AQ17" s="9"/>
      <c r="AR17" s="100"/>
      <c r="AS17" s="114"/>
      <c r="AT17" s="3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</row>
    <row r="18">
      <c r="A18" s="43">
        <f>A11+2</f>
        <v>42335</v>
      </c>
      <c r="B18" s="131" t="s">
        <v>20</v>
      </c>
      <c r="C18" s="132" t="s">
        <v>38</v>
      </c>
      <c r="D18" s="46">
        <v>1.0</v>
      </c>
      <c r="E18" s="133"/>
      <c r="F18" s="48">
        <f t="shared" si="24"/>
        <v>0</v>
      </c>
      <c r="G18" s="49">
        <v>12.0</v>
      </c>
      <c r="H18" s="49">
        <v>4.0</v>
      </c>
      <c r="I18" s="50">
        <v>0.4</v>
      </c>
      <c r="J18" s="48" t="str">
        <f t="shared" si="25"/>
        <v/>
      </c>
      <c r="K18" s="49"/>
      <c r="L18" s="49"/>
      <c r="M18" s="50">
        <v>0.0</v>
      </c>
      <c r="N18" s="48" t="str">
        <f t="shared" si="26"/>
        <v/>
      </c>
      <c r="O18" s="49"/>
      <c r="P18" s="49"/>
      <c r="Q18" s="50">
        <v>0.0</v>
      </c>
      <c r="R18" s="48" t="str">
        <f t="shared" si="27"/>
        <v/>
      </c>
      <c r="S18" s="49"/>
      <c r="T18" s="49"/>
      <c r="U18" s="50">
        <v>0.0</v>
      </c>
      <c r="V18" s="134">
        <f t="shared" si="28"/>
        <v>0</v>
      </c>
      <c r="W18" s="53">
        <f t="shared" si="29"/>
        <v>0</v>
      </c>
      <c r="X18" s="54">
        <f t="shared" si="30"/>
        <v>0</v>
      </c>
      <c r="Y18" s="55">
        <v>0.0</v>
      </c>
      <c r="Z18" s="53" t="str">
        <f t="shared" si="31"/>
        <v>#REF!</v>
      </c>
      <c r="AA18" s="49">
        <f t="shared" si="32"/>
        <v>48</v>
      </c>
      <c r="AB18" s="56">
        <f t="shared" si="33"/>
        <v>12</v>
      </c>
      <c r="AC18" s="9"/>
      <c r="AD18" s="9"/>
      <c r="AE18" s="9"/>
      <c r="AF18" s="40"/>
      <c r="AG18" s="39"/>
      <c r="AH18" s="113"/>
      <c r="AI18" s="113"/>
      <c r="AJ18" s="113"/>
      <c r="AK18" s="113"/>
      <c r="AL18" s="113"/>
      <c r="AM18" s="113"/>
      <c r="AN18" s="113"/>
      <c r="AO18" s="113"/>
      <c r="AP18" s="113"/>
      <c r="AQ18" s="9"/>
      <c r="AR18" s="100"/>
      <c r="AS18" s="114"/>
      <c r="AT18" s="3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</row>
    <row r="19">
      <c r="A19" s="57"/>
      <c r="B19" s="135" t="s">
        <v>18</v>
      </c>
      <c r="C19" s="132" t="s">
        <v>39</v>
      </c>
      <c r="D19" s="46">
        <v>0.5</v>
      </c>
      <c r="E19" s="136">
        <v>5.0</v>
      </c>
      <c r="F19" s="59">
        <f t="shared" si="24"/>
        <v>3.5</v>
      </c>
      <c r="G19" s="60">
        <v>12.0</v>
      </c>
      <c r="H19" s="60">
        <v>1.0</v>
      </c>
      <c r="I19" s="61">
        <v>0.35</v>
      </c>
      <c r="J19" s="59">
        <f t="shared" si="25"/>
        <v>5.2</v>
      </c>
      <c r="K19" s="60">
        <v>10.0</v>
      </c>
      <c r="L19" s="60">
        <v>3.0</v>
      </c>
      <c r="M19" s="61">
        <v>0.52</v>
      </c>
      <c r="N19" s="59" t="str">
        <f t="shared" si="26"/>
        <v/>
      </c>
      <c r="O19" s="60"/>
      <c r="P19" s="60"/>
      <c r="Q19" s="61">
        <v>0.0</v>
      </c>
      <c r="R19" s="59" t="str">
        <f t="shared" si="27"/>
        <v/>
      </c>
      <c r="S19" s="60"/>
      <c r="T19" s="60"/>
      <c r="U19" s="61">
        <v>0.0</v>
      </c>
      <c r="V19" s="104">
        <f t="shared" si="28"/>
        <v>990</v>
      </c>
      <c r="W19" s="64">
        <f t="shared" si="29"/>
        <v>23.57142857</v>
      </c>
      <c r="X19" s="65">
        <f t="shared" si="30"/>
        <v>0.47</v>
      </c>
      <c r="Y19" s="55">
        <v>10.0</v>
      </c>
      <c r="Z19" s="64" t="str">
        <f t="shared" si="31"/>
        <v>#REF!</v>
      </c>
      <c r="AA19" s="60">
        <f t="shared" si="32"/>
        <v>42</v>
      </c>
      <c r="AB19" s="66">
        <f t="shared" si="33"/>
        <v>8.7</v>
      </c>
      <c r="AC19" s="9"/>
      <c r="AD19" s="9"/>
      <c r="AE19" s="9"/>
      <c r="AF19" s="40"/>
      <c r="AG19" s="39"/>
      <c r="AH19" s="113"/>
      <c r="AI19" s="113"/>
      <c r="AJ19" s="113"/>
      <c r="AK19" s="113"/>
      <c r="AL19" s="113"/>
      <c r="AM19" s="113"/>
      <c r="AN19" s="113"/>
      <c r="AO19" s="113"/>
      <c r="AP19" s="113"/>
      <c r="AQ19" s="9"/>
      <c r="AR19" s="100"/>
      <c r="AS19" s="114"/>
      <c r="AT19" s="3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</row>
    <row r="20">
      <c r="A20" s="57"/>
      <c r="B20" s="135" t="s">
        <v>20</v>
      </c>
      <c r="C20" s="132" t="s">
        <v>40</v>
      </c>
      <c r="D20" s="46">
        <v>0.4</v>
      </c>
      <c r="E20" s="136">
        <v>2.0</v>
      </c>
      <c r="F20" s="48">
        <f t="shared" si="24"/>
        <v>3.6</v>
      </c>
      <c r="G20" s="49">
        <v>12.0</v>
      </c>
      <c r="H20" s="49">
        <v>4.0</v>
      </c>
      <c r="I20" s="50">
        <v>0.3</v>
      </c>
      <c r="J20" s="48" t="str">
        <f t="shared" si="25"/>
        <v/>
      </c>
      <c r="K20" s="49"/>
      <c r="L20" s="49"/>
      <c r="M20" s="50">
        <v>0.0</v>
      </c>
      <c r="N20" s="48" t="str">
        <f t="shared" si="26"/>
        <v/>
      </c>
      <c r="O20" s="49"/>
      <c r="P20" s="49"/>
      <c r="Q20" s="50">
        <v>0.0</v>
      </c>
      <c r="R20" s="48" t="str">
        <f t="shared" si="27"/>
        <v/>
      </c>
      <c r="S20" s="49"/>
      <c r="T20" s="49"/>
      <c r="U20" s="50">
        <v>0.0</v>
      </c>
      <c r="V20" s="134">
        <f t="shared" si="28"/>
        <v>345.6</v>
      </c>
      <c r="W20" s="53">
        <f t="shared" si="29"/>
        <v>7.2</v>
      </c>
      <c r="X20" s="54">
        <f t="shared" si="30"/>
        <v>0.3</v>
      </c>
      <c r="Y20" s="55">
        <v>12.0</v>
      </c>
      <c r="Z20" s="53" t="str">
        <f t="shared" si="31"/>
        <v>#REF!</v>
      </c>
      <c r="AA20" s="49">
        <f t="shared" si="32"/>
        <v>48</v>
      </c>
      <c r="AB20" s="56">
        <f t="shared" si="33"/>
        <v>3</v>
      </c>
      <c r="AC20" s="9"/>
      <c r="AD20" s="9"/>
      <c r="AE20" s="9"/>
      <c r="AF20" s="40"/>
      <c r="AG20" s="39"/>
      <c r="AH20" s="113"/>
      <c r="AI20" s="113"/>
      <c r="AJ20" s="113"/>
      <c r="AK20" s="113"/>
      <c r="AL20" s="113"/>
      <c r="AM20" s="113"/>
      <c r="AN20" s="113"/>
      <c r="AO20" s="113"/>
      <c r="AP20" s="113"/>
      <c r="AQ20" s="9"/>
      <c r="AR20" s="100"/>
      <c r="AS20" s="114"/>
      <c r="AT20" s="3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ht="15.75" customHeight="1">
      <c r="A21" s="57"/>
      <c r="B21" s="135" t="s">
        <v>23</v>
      </c>
      <c r="C21" s="132" t="s">
        <v>41</v>
      </c>
      <c r="D21" s="46">
        <v>0.4</v>
      </c>
      <c r="E21" s="136">
        <v>2.0</v>
      </c>
      <c r="F21" s="59">
        <f t="shared" si="24"/>
        <v>7</v>
      </c>
      <c r="G21" s="60">
        <v>10.0</v>
      </c>
      <c r="H21" s="60">
        <v>1.0</v>
      </c>
      <c r="I21" s="61">
        <v>0.45</v>
      </c>
      <c r="J21" s="59">
        <f t="shared" si="25"/>
        <v>8</v>
      </c>
      <c r="K21" s="60">
        <v>10.0</v>
      </c>
      <c r="L21" s="60">
        <v>1.0</v>
      </c>
      <c r="M21" s="61">
        <v>0.55</v>
      </c>
      <c r="N21" s="59">
        <f t="shared" si="26"/>
        <v>10</v>
      </c>
      <c r="O21" s="60">
        <v>10.0</v>
      </c>
      <c r="P21" s="60">
        <v>3.0</v>
      </c>
      <c r="Q21" s="61">
        <v>0.65</v>
      </c>
      <c r="R21" s="59" t="str">
        <f t="shared" si="27"/>
        <v/>
      </c>
      <c r="S21" s="60"/>
      <c r="T21" s="60"/>
      <c r="U21" s="61">
        <v>0.0</v>
      </c>
      <c r="V21" s="104">
        <f t="shared" si="28"/>
        <v>900</v>
      </c>
      <c r="W21" s="64">
        <f t="shared" si="29"/>
        <v>18</v>
      </c>
      <c r="X21" s="62">
        <f t="shared" si="30"/>
        <v>0.6</v>
      </c>
      <c r="Y21" s="55">
        <v>15.0</v>
      </c>
      <c r="Z21" s="64" t="str">
        <f t="shared" si="31"/>
        <v>#REF!</v>
      </c>
      <c r="AA21" s="60">
        <f t="shared" si="32"/>
        <v>50</v>
      </c>
      <c r="AB21" s="66">
        <f t="shared" si="33"/>
        <v>7.05</v>
      </c>
      <c r="AC21" s="9"/>
      <c r="AD21" s="9"/>
      <c r="AE21" s="9"/>
      <c r="AF21" s="40"/>
      <c r="AG21" s="39"/>
      <c r="AH21" s="113"/>
      <c r="AI21" s="113"/>
      <c r="AJ21" s="113"/>
      <c r="AK21" s="39"/>
      <c r="AL21" s="39"/>
      <c r="AM21" s="39"/>
      <c r="AN21" s="41"/>
      <c r="AO21" s="40"/>
      <c r="AP21" s="39"/>
      <c r="AQ21" s="39"/>
      <c r="AR21" s="41"/>
      <c r="AS21" s="114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</row>
    <row r="22" ht="15.75" customHeight="1">
      <c r="A22" s="57"/>
      <c r="B22" s="135" t="s">
        <v>18</v>
      </c>
      <c r="C22" s="132" t="s">
        <v>42</v>
      </c>
      <c r="D22" s="46">
        <v>0.4</v>
      </c>
      <c r="E22" s="133"/>
      <c r="F22" s="48">
        <f t="shared" si="24"/>
        <v>12</v>
      </c>
      <c r="G22" s="49">
        <v>12.0</v>
      </c>
      <c r="H22" s="49">
        <v>1.0</v>
      </c>
      <c r="I22" s="50">
        <v>0.4</v>
      </c>
      <c r="J22" s="48">
        <f t="shared" si="25"/>
        <v>15</v>
      </c>
      <c r="K22" s="49">
        <v>12.0</v>
      </c>
      <c r="L22" s="49">
        <v>3.0</v>
      </c>
      <c r="M22" s="50">
        <v>0.5</v>
      </c>
      <c r="N22" s="48" t="str">
        <f t="shared" si="26"/>
        <v/>
      </c>
      <c r="O22" s="49"/>
      <c r="P22" s="49"/>
      <c r="Q22" s="50">
        <v>0.0</v>
      </c>
      <c r="R22" s="48" t="str">
        <f t="shared" si="27"/>
        <v/>
      </c>
      <c r="S22" s="49"/>
      <c r="T22" s="49"/>
      <c r="U22" s="50">
        <v>0.0</v>
      </c>
      <c r="V22" s="134">
        <f t="shared" si="28"/>
        <v>684</v>
      </c>
      <c r="W22" s="53">
        <f t="shared" si="29"/>
        <v>14.25</v>
      </c>
      <c r="X22" s="54">
        <f t="shared" si="30"/>
        <v>0.48</v>
      </c>
      <c r="Y22" s="137">
        <v>30.0</v>
      </c>
      <c r="Z22" s="53" t="str">
        <f t="shared" si="31"/>
        <v>#REF!</v>
      </c>
      <c r="AA22" s="49">
        <f t="shared" si="32"/>
        <v>48</v>
      </c>
      <c r="AB22" s="56">
        <f t="shared" si="33"/>
        <v>4.35</v>
      </c>
      <c r="AC22" s="9"/>
      <c r="AD22" s="9"/>
      <c r="AE22" s="9"/>
      <c r="AF22" s="40"/>
      <c r="AG22" s="39"/>
      <c r="AH22" s="9"/>
      <c r="AI22" s="9"/>
      <c r="AJ22" s="9"/>
      <c r="AK22" s="39"/>
      <c r="AL22" s="39"/>
      <c r="AM22" s="39"/>
      <c r="AN22" s="41"/>
      <c r="AO22" s="40"/>
      <c r="AP22" s="39"/>
      <c r="AQ22" s="39"/>
      <c r="AR22" s="41"/>
      <c r="AS22" s="114"/>
      <c r="AT22" s="71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ht="15.75" customHeight="1">
      <c r="A23" s="72"/>
      <c r="B23" s="138"/>
      <c r="C23" s="139" t="s">
        <v>43</v>
      </c>
      <c r="D23" s="75">
        <f>ROUND(IFERROR((D17*(G17*H17+K17*L17+O17*P17+S17*T17)+D18*(G18*H18+K18*L18+O18*P18+S18*T18)+D19*(G19*H19+K19*L19+O19*P19+S19*T19)+D20*(G20*H20+K20*L20+O20*P20+S20*T20)+D21*(G21*H21+K21*L21+O21*P21+S21*T21)+D22*(G22*H22+K22*L22+O22*P22+S22*T22))/((G17*H17+K17*L17+O17*P17+S17*T17)+(G18*H18+K18*L18+O18*P18+S18*T18)+(G19*H19+K19*L19+O19*P19+S19*T19)+(G20*H20+K20*L20+O20*P20+S20*T20)+(G21*H21+K21*L21+O21*P21+S21*T21)+(G22*H22+K22*L22+O22*P22+S22*T22)),0),2)</f>
        <v>0.65</v>
      </c>
      <c r="E23" s="140"/>
      <c r="F23" s="77"/>
      <c r="G23" s="78"/>
      <c r="H23" s="78"/>
      <c r="I23" s="79"/>
      <c r="J23" s="77"/>
      <c r="K23" s="78"/>
      <c r="L23" s="78"/>
      <c r="M23" s="79"/>
      <c r="N23" s="77"/>
      <c r="O23" s="78"/>
      <c r="P23" s="78"/>
      <c r="Q23" s="79"/>
      <c r="R23" s="77"/>
      <c r="S23" s="78"/>
      <c r="T23" s="78"/>
      <c r="U23" s="79"/>
      <c r="V23" s="125">
        <f>SUM(V17:V22)</f>
        <v>5109.6</v>
      </c>
      <c r="W23" s="82">
        <f>IFERROR(V23/AA23,0)</f>
        <v>18.37985612</v>
      </c>
      <c r="X23" s="83">
        <f>ROUND(IFERROR(((I17*G17*H17+M17*K17*L17+Q17*O17*P17+U17*S17*T17)+(I18*G18*H18+M18*K18*L18+Q18*O18*P18+U18*S18*T18)+(I19*G19*H19+M19*K19*L19+Q19*O19*P19+U19*S19*T19)+(I20*G20*H20+M20*K20*L20+Q20*O20*P20+U20*S20*T20)+(I21*G21*H21+M21*K21*L21+Q21*O21*P21+U21*S21*T21)+(I22*G22*H22+M22*K22*L22+Q22*O22*P22+U22*S22*T22))/((G17*H17+K17*L17+O17*P17+S17*T17)+(G18*H18+K18*L18+O18*P18+S18*T18)+(G19*H19+K19*L19+O19*P19+S19*T19)+(G20*H20+K20*L20+O20*P20+S20*T20)+(G21*H21+K21*L21+O21*P21+S21*T21)+(G22*H22+K22*L22+O22*P22+S22*T22)),0),3)</f>
        <v>0.46</v>
      </c>
      <c r="Y23" s="84"/>
      <c r="Z23" s="82" t="str">
        <f t="shared" ref="Z23:AA23" si="34">SUM(Z17:Z22)</f>
        <v>#REF!</v>
      </c>
      <c r="AA23" s="85">
        <f t="shared" si="34"/>
        <v>278</v>
      </c>
      <c r="AB23" s="86">
        <f>IF(SUM(AB17:AB22)=0,TIME(,0,),TIME(,SUM(AB17:AB22)+30,))</f>
        <v>0.05972222222</v>
      </c>
      <c r="AC23" s="9"/>
      <c r="AD23" s="9"/>
      <c r="AE23" s="9"/>
      <c r="AF23" s="40"/>
      <c r="AG23" s="39"/>
      <c r="AH23" s="113"/>
      <c r="AI23" s="113"/>
      <c r="AJ23" s="113"/>
      <c r="AK23" s="39"/>
      <c r="AL23" s="39"/>
      <c r="AM23" s="39"/>
      <c r="AN23" s="41"/>
      <c r="AO23" s="40"/>
      <c r="AP23" s="39"/>
      <c r="AQ23" s="39"/>
      <c r="AR23" s="41"/>
      <c r="AS23" s="114"/>
      <c r="AT23" s="3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</row>
    <row r="24" ht="15.75" hidden="1" customHeight="1">
      <c r="A24" s="88" t="s">
        <v>44</v>
      </c>
      <c r="B24" s="89"/>
      <c r="C24" s="141"/>
      <c r="D24" s="29"/>
      <c r="E24" s="91"/>
      <c r="F24" s="92"/>
      <c r="G24" s="93"/>
      <c r="H24" s="93"/>
      <c r="I24" s="94" t="str">
        <f t="shared" ref="I24:I29" si="35">IFERROR(ROUND(F24/$Y24,2),)</f>
        <v/>
      </c>
      <c r="J24" s="92"/>
      <c r="K24" s="93"/>
      <c r="L24" s="93"/>
      <c r="M24" s="94" t="str">
        <f t="shared" ref="M24:M29" si="36">IFERROR(ROUND(J24/$Y24,2),)</f>
        <v/>
      </c>
      <c r="N24" s="92"/>
      <c r="O24" s="93"/>
      <c r="P24" s="93"/>
      <c r="Q24" s="94" t="str">
        <f t="shared" ref="Q24:Q29" si="37">IFERROR(ROUND(N24/$Y24,2),)</f>
        <v/>
      </c>
      <c r="R24" s="92"/>
      <c r="S24" s="93"/>
      <c r="T24" s="93"/>
      <c r="U24" s="94" t="str">
        <f t="shared" ref="U24:U29" si="38">IFERROR(ROUND(R24/$Y24,2),)</f>
        <v/>
      </c>
      <c r="V24" s="95">
        <f t="shared" ref="V24:V29" si="39">(IF(ISNUMBER(F24),F24,1)*G24*H24+IF(ISNUMBER(J24),J24,1)*K24*L24+IF(ISNUMBER(N24),N24,1)*O24*P24+IF(ISNUMBER(R24),R24,1)*S24*T24)*IF(ISNUMBER(E24),E24,1)</f>
        <v>0</v>
      </c>
      <c r="W24" s="96">
        <f t="shared" ref="W24:W29" si="40">IFERROR((IF(ISNUMBER(F24),F24,1)*G24*H24+IF(ISNUMBER(J24),J24,1)*K24*L24+IF(ISNUMBER(N24),N24,1)*O24*P24+IF(ISNUMBER(R24),R24,1)*S24*T24)*IF(ISNUMBER(E24),E24,1)/(G24*H24+K24*L24+O24*P24+S24*T24),0)</f>
        <v>0</v>
      </c>
      <c r="X24" s="97">
        <f t="shared" ref="X24:X29" si="41">ROUND(IFERROR((W24/(Y24*IF(ISNUMBER(E24),E24,1))),0),2)</f>
        <v>0</v>
      </c>
      <c r="Y24" s="37"/>
      <c r="Z24" s="96">
        <f t="shared" ref="Z24:Z29" si="42">(IF(I24&lt;30%,0,IF(I24&lt;35%,F24*G24*H24*F!$B$33,IF(I24&lt;40%,F24*G24*H24*F!$B$38,IF(I24&lt;45%,F24*G24*H24*F!$B$43,IF(I24&lt;50%,F24*G24*H24*F!$B$48,IF(I24=50%,F24*G24*H24*F!$B$50,IF(I24=51%,F24*G24*H24*F!$B$51,IF(I24=52%,F24*G24*H24*F!$B$52,IF(I24=53%,F24*G24*H24*F!$B$53,IF(I24=54%,F24*G24*H24*F!$B$54,IF(I24=55%,F24*G24*H24*F!$B$55,IF(I24=56%,F24*G24*H24*F!$B$56,IF(I24=57%,F24*G24*H24*F!$B$57,IF(I24=58%,F24*G24*H24*F!$B$58,IF(I24=59%,F24*G24*H24*F!$B$59,IF(I24=60%,F24*G24*H24*F!$B$60,IF(I24=61%,F24*G24*H24*F!$B$61,IF(I24=62%,F24*G24*H24*F!$B$62,IF(I24=63%,F24*G24*H24*F!$B$63,IF(I24=64%,F24*G24*H24*F!$B$64,IF(I24=65%,F24*G24*H24*F!$B$65,IF(I24=66%,F24*G24*H24*F!$B$66,IF(I24=67%,F24*G24*H24*F!$B$67,IF(I24=68%,F24*G24*H24*F!$B$68,IF(I24=69%,F24*G24*H24*F!$B$69,IF(I24=70%,F24*G24*H24*F!$B$70,IF(I24=71%,F24*G24*H24*F!$B$71,IF(I24=72%,F24*G24*H24*F!$B$72,IF(I24=73%,F24*G24*H24*F!$B$73,IF(I24=74%,F24*G24*H24*F!$B$74,IF(I24=75%,F24*G24*H24*F!$B$75,IF(I24=76%,F24*G24*H24*F!$B$76,IF(I24=77%,F24*G24*H24*F!$B$77,IF(I24=78%,F24*G24*H24*F!$B$78,IF(I24=79%,F24*G24*H24*F!$B$79,IF(I24=80%,F24*G24*H24*F!$B$80,IF(I24=81%,F24*G24*H24*F!$B$81,IF(I24=82%,F24*G24*H24*F!$B$82,IF(I24=83%,F24*G24*H24*F!$B$83,IF(I24=84%,F24*G24*H24*F!$B$84,IF(I24=85%,F24*G24*H24*F!$B$85,IF(I24=86%,F24*G24*H24*F!$B$86,IF(I24=87%,F24*G24*H24*F!$B$87,IF(I24=88%,F24*G24*H24*F!$B$88,IF(I24=89%,F24*G24*H24*F!$B$89,IF(I24=90%,F24*G24*H24*F!$B$90,IF(I24=91%,F24*G24*H24*F!$B$91,IF(I24=92%,F24*G24*H24*F!$B$92,IF(I24=93%,F24*G24*H24*F!$B$93,IF(I24=94%,F24*G24*H24*F!$B$94,IF(I24=95%,F24*G24*H24*F!$B$95,IF(I24=96%,F24*G24*H24*F!$B$96,IF(I24=97%,F24*G24*H24*F!$B$97,IF(I24=98%,F24*G24*H24*F!$B$98,IF(I24=99%,F24*G24*H24*F!$B$99,IF(I24&gt;99%,F24*G24*H24*F!$B$100,))))))))))))))))))))))))))))))))))))))))))))))))))))))))+IF(M24&lt;30%,0,IF(M24&lt;35%,J24*K24*L24*F!$B$33,IF(M24&lt;40%,J24*K24*L24*F!$B$38,IF(M24&lt;45%,J24*K24*L24*F!$B$43,IF(M24&lt;50%,J24*K24*L24*F!$B$48,IF(M24=50%,J24*K24*L24*F!$B$50,IF(M24=51%,J24*K24*L24*F!$B$51,IF(M24=52%,J24*K24*L24*F!$B$52,IF(M24=53%,J24*K24*L24*F!$B$53,IF(M24=54%,J24*K24*L24*F!$B$54,IF(M24=55%,J24*K24*L24*F!$B$55,IF(M24=56%,J24*K24*L24*F!$B$56,IF(M24=57%,J24*K24*L24*F!$B$57,IF(M24=58%,J24*K24*L24*F!$B$58,IF(M24=59%,J24*K24*L24*F!$B$59,IF(M24=60%,J24*K24*L24*F!$B$60,IF(M24=61%,J24*K24*L24*F!$B$61,IF(M24=62%,J24*K24*L24*F!$B$62,IF(M24=63%,J24*K24*L24*F!$B$63,IF(M24=64%,J24*K24*L24*F!$B$64,IF(M24=65%,J24*K24*L24*F!$B$65,IF(M24=66%,J24*K24*L24*F!$B$66,IF(M24=67%,J24*K24*L24*F!$B$67,IF(M24=68%,J24*K24*L24*F!$B$68,IF(M24=69%,J24*K24*L24*F!$B$69,IF(M24=70%,J24*K24*L24*F!$B$70,IF(M24=71%,J24*K24*L24*F!$B$71,IF(M24=72%,J24*K24*L24*F!$B$72,IF(M24=73%,J24*K24*L24*F!$B$73,IF(M24=74%,J24*K24*L24*F!$B$74,IF(M24=75%,J24*K24*L24*F!$B$75,IF(M24=76%,J24*K24*L24*F!$B$76,IF(M24=77%,J24*K24*L24*F!$B$77,IF(M24=78%,J24*K24*L24*F!$B$78,IF(M24=79%,J24*K24*L24*F!$B$79,IF(M24=80%,J24*K24*L24*F!$B$80,IF(M24=81%,J24*K24*L24*F!$B$81,IF(M24=82%,J24*K24*L24*F!$B$82,IF(M24=83%,J24*K24*L24*F!$B$83,IF(M24=84%,J24*K24*L24*F!$B$84,IF(M24=85%,J24*K24*L24*F!$B$85,IF(M24=86%,J24*K24*L24*F!$B$86,IF(M24=87%,J24*K24*L24*F!$B$87,IF(M24=88%,J24*K24*L24*F!$B$88,IF(M24=89%,J24*K24*L24*F!$B$89,IF(M24=90%,J24*K24*L24*F!$B$90,IF(M24=91%,J24*K24*L24*F!$B$91,IF(M24=92%,J24*K24*L24*F!$B$92,IF(M24=93%,J24*K24*L24*F!$B$93,IF(M24=94%,J24*K24*L24*F!$B$94,IF(M24=95%,J24*K24*L24*F!$B$95,IF(M24=96%,J24*K24*L24*F!$B$96,IF(M24=97%,J24*K24*L24*F!$B$97,IF(M24=98%,J24*K24*L24*F!$B$98,IF(M24=99%,J24*K24*L24*F!$B$99,IF(M24&gt;99%,J24*K24*L24*F!$B$100,))))))))))))))))))))))))))))))))))))))))))))))))))))))))+IF(Q24&lt;30%,0,IF(Q24&lt;35%,N24*O24*P24*F!$B$33,IF(Q24&lt;40%,N24*O24*P24*F!$B$38,IF(Q24&lt;45%,N24*O24*P24*F!$B$43,IF(Q24&lt;50%,N24*O24*P24*F!$B$48,IF(Q24=50%,N24*O24*P24*F!$B$50,IF(Q24=51%,N24*O24*P24*F!$B$51,IF(Q24=52%,N24*O24*P24*F!$B$52,IF(Q24=53%,N24*O24*P24*F!$B$53,IF(Q24=54%,N24*O24*P24*F!$B$54,IF(Q24=55%,N24*O24*P24*F!$B$55,IF(Q24=56%,N24*O24*P24*F!$B$56,IF(Q24=57%,N24*O24*P24*F!$B$57,IF(Q24=58%,N24*O24*P24*F!$B$58,IF(Q24=59%,N24*O24*P24*F!$B$59,IF(Q24=60%,N24*O24*P24*F!$B$60,IF(Q24=61%,N24*O24*P24*F!$B$61,IF(Q24=62%,N24*O24*P24*F!$B$62,IF(Q24=63%,N24*O24*P24*F!$B$63,IF(Q24=64%,N24*O24*P24*F!$B$64,IF(Q24=65%,N24*O24*P24*F!$B$65,IF(Q24=66%,N24*O24*P24*F!$B$66,IF(Q24=67%,N24*O24*P24*F!$B$67,IF(Q24=68%,N24*O24*P24*F!$B$68,IF(Q24=69%,N24*O24*P24*F!$B$69,IF(Q24=70%,N24*O24*P24*F!$B$70,IF(Q24=71%,N24*O24*P24*F!$B$71,IF(Q24=72%,N24*O24*P24*F!$B$72,IF(Q24=73%,N24*O24*P24*F!$B$73,IF(Q24=74%,N24*O24*P24*F!$B$74,IF(Q24=75%,N24*O24*P24*F!$B$75,IF(Q24=76%,N24*O24*P24*F!$B$76,IF(Q24=77%,N24*O24*P24*F!$B$77,IF(Q24=78%,N24*O24*P24*F!$B$78,IF(Q24=79%,N24*O24*P24*F!$B$79,IF(Q24=80%,N24*O24*P24*F!$B$80,IF(Q24=81%,N24*O24*P24*F!$B$81,IF(Q24=82%,N24*O24*P24*F!$B$82,IF(Q24=83%,N24*O24*P24*F!$B$83,IF(Q24=84%,N24*O24*P24*F!$B$84,IF(Q24=85%,N24*O24*P24*F!$B$85,IF(Q24=86%,N24*O24*P24*F!$B$86,IF(Q24=87%,N24*O24*P24*F!$B$87,IF(Q24=88%,N24*O24*P24*F!$B$88,IF(Q24=89%,N24*O24*P24*F!$B$89,IF(Q24=90%,N24*O24*P24*F!$B$90,IF(Q24=91%,N24*O24*P24*F!$B$91,IF(Q24=92%,N24*O24*P24*F!$B$92,IF(Q24=93%,N24*O24*P24*F!$B$93,IF(Q24=94%,N24*O24*P24*F!$B$94,IF(Q24=95%,N24*O24*P24*F!$B$95,IF(Q24=96%,N24*O24*P24*F!$B$96,IF(Q24=97%,N24*O24*P24*F!$B$97,IF(Q24=98%,N24*O24*P24*F!$B$98,IF(Q24=99%,N24*O24*P24*F!$B$99,IF(Q24&gt;99%,N24*O24*P24*F!$B$100,))))))))))))))))))))))))))))))))))))))))))))))))))))))))+IF(U24&lt;30%,0,IF(U24&lt;35%,R24*S24*T24*F!$B$33,IF(U24&lt;40%,R24*S24*T24*F!$B$38,IF(U24&lt;45%,R24*S24*T24*F!$B$43,IF(U24&lt;50%,R24*S24*T24*F!$B$48,IF(U24=50%,R24*S24*T24*F!$B$50,IF(U24=51%,R24*S24*T24*F!$B$51,IF(U24=52%,R24*S24*T24*F!$B$52,IF(U24=53%,R24*S24*T24*F!$B$53,IF(U24=54%,R24*S24*T24*F!$B$54,IF(U24=55%,R24*S24*T24*F!$B$55,IF(U24=56%,R24*S24*T24*F!$B$56,IF(U24=57%,R24*S24*T24*F!$B$57,IF(U24=58%,R24*S24*T24*F!$B$58,IF(U24=59%,R24*S24*T24*F!$B$59,IF(U24=60%,R24*S24*T24*F!$B$60,IF(U24=61%,R24*S24*T24*F!$B$61,IF(U24=62%,R24*S24*T24*F!$B$62,IF(U24=63%,R24*S24*T24*F!$B$63,IF(U24=64%,R24*S24*T24*F!$B$64,IF(U24=65%,R24*S24*T24*F!$B$65,IF(U24=66%,R24*S24*T24*F!$B$66,IF(U24=67%,R24*S24*T24*F!$B$67,IF(U24=68%,R24*S24*T24*F!$B$68,IF(U24=69%,R24*S24*T24*F!$B$69,IF(U24=70%,R24*S24*T24*F!$B$70,IF(U24=71%,R24*S24*T24*F!$B$71,IF(U24=72%,R24*S24*T24*F!$B$72,IF(U24=73%,R24*S24*T24*F!$B$73,IF(U24=74%,R24*S24*T24*F!$B$74,IF(U24=75%,R24*S24*T24*F!$B$75,IF(U24=76%,R24*S24*T24*F!$B$76,IF(U24=77%,R24*S24*T24*F!$B$77,IF(U24=78%,R24*S24*T24*F!$B$78,IF(U24=79%,R24*S24*T24*F!$B$79,IF(U24=80%,R24*S24*T24*F!$B$80,IF(U24=81%,R24*S24*T24*F!$B$81,IF(U24=82%,R24*S24*T24*F!$B$82,IF(U24=83%,R24*S24*T24*F!$B$83,IF(U24=84%,R24*S24*T24*F!$B$84,IF(U24=85%,R24*S24*T24*F!$B$85,IF(U24=86%,R24*S24*T24*F!$B$86,IF(U24=87%,R24*S24*T24*F!$B$87,IF(U24=88%,R24*S24*T24*F!$B$88,IF(U24=89%,R24*S24*T24*F!$B$89,IF(U24=90%,R24*S24*T24*F!$B$90,IF(U24=91%,R24*S24*T24*F!$B$91,IF(U24=92%,R24*S24*T24*F!$B$92,IF(U24=93%,R24*S24*T24*F!$B$93,IF(U24=94%,R24*S24*T24*F!$B$94,IF(U24=95%,R24*S24*T24*F!$B$95,IF(U24=96%,R24*S24*T24*F!$B$96,IF(U24=97%,R24*S24*T24*F!$B$97,IF(U24=98%,R24*S24*T24*F!$B$98,IF(U24=99%,R24*S24*T24*F!$B$99,IF(U24&gt;99%,R24*S24*T24*F!$B$100)))))))))))))))))))))))))))))))))))))))))))))))))))))))))*IF(ISNUMBER(E24),E24,1)*IF(ISNUMBER(D24),D24,1)</f>
        <v>0</v>
      </c>
      <c r="AA24" s="93">
        <f t="shared" ref="AA24:AA29" si="43">G24*H24+K24*L24+O24*P24+S24*T24</f>
        <v>0</v>
      </c>
      <c r="AB24" s="99">
        <f t="shared" ref="AB24:AB29" si="44">(H24*(IF(I24&lt;45%,0.5,IF(I24&lt;55%,0.8,IF(I24&lt;65%,0.9,IF(I24&lt;75%,1,IF(I24&lt;85%,1.1,1.2))))))+L24*(IF(M24&lt;45%,0.5,IF(M24&lt;55%,0.8,IF(M24&lt;65%,0.9,IF(M24&lt;75%,1,IF(M24&lt;85%,1.1,1.2))))))+P24*(IF(Q24&lt;45%,0.5,IF(Q24&lt;55%,0.8,IF(Q24&lt;65%,0.9,IF(Q24&lt;75%,1,IF(Q24&lt;85%,1.1,1.2))))))+T24*(IF(U24&lt;45%,0.5,IF(U24&lt;55%,0.8,IF(U24&lt;65%,0.9,IF(U24&lt;75%,1,IF(U24&lt;85%,1.1,1.2)))))))*IF(D24&gt;=0.8,6,IF(D24&lt;=0.4,1.5,3))</f>
        <v>0</v>
      </c>
      <c r="AC24" s="9"/>
      <c r="AD24" s="9"/>
      <c r="AE24" s="9"/>
      <c r="AF24" s="40"/>
      <c r="AG24" s="39"/>
      <c r="AH24" s="113"/>
      <c r="AI24" s="113"/>
      <c r="AJ24" s="113"/>
      <c r="AK24" s="39"/>
      <c r="AL24" s="39"/>
      <c r="AM24" s="39"/>
      <c r="AN24" s="41"/>
      <c r="AO24" s="40"/>
      <c r="AP24" s="39"/>
      <c r="AQ24" s="39"/>
      <c r="AR24" s="41"/>
      <c r="AS24" s="114"/>
      <c r="AT24" s="3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</row>
    <row r="25" ht="15.75" hidden="1" customHeight="1">
      <c r="A25" s="142">
        <f>A18+1</f>
        <v>42336</v>
      </c>
      <c r="B25" s="101"/>
      <c r="C25" s="143"/>
      <c r="D25" s="46"/>
      <c r="E25" s="144"/>
      <c r="F25" s="59"/>
      <c r="G25" s="60"/>
      <c r="H25" s="60"/>
      <c r="I25" s="61" t="str">
        <f t="shared" si="35"/>
        <v/>
      </c>
      <c r="J25" s="59"/>
      <c r="K25" s="60"/>
      <c r="L25" s="60"/>
      <c r="M25" s="61" t="str">
        <f t="shared" si="36"/>
        <v/>
      </c>
      <c r="N25" s="59"/>
      <c r="O25" s="60"/>
      <c r="P25" s="60"/>
      <c r="Q25" s="61" t="str">
        <f t="shared" si="37"/>
        <v/>
      </c>
      <c r="R25" s="59"/>
      <c r="S25" s="60"/>
      <c r="T25" s="60"/>
      <c r="U25" s="61" t="str">
        <f t="shared" si="38"/>
        <v/>
      </c>
      <c r="V25" s="104">
        <f t="shared" si="39"/>
        <v>0</v>
      </c>
      <c r="W25" s="64">
        <f t="shared" si="40"/>
        <v>0</v>
      </c>
      <c r="X25" s="65">
        <f t="shared" si="41"/>
        <v>0</v>
      </c>
      <c r="Y25" s="137"/>
      <c r="Z25" s="64">
        <f t="shared" si="42"/>
        <v>0</v>
      </c>
      <c r="AA25" s="60">
        <f t="shared" si="43"/>
        <v>0</v>
      </c>
      <c r="AB25" s="66">
        <f t="shared" si="44"/>
        <v>0</v>
      </c>
      <c r="AC25" s="9"/>
      <c r="AD25" s="9"/>
      <c r="AE25" s="9"/>
      <c r="AF25" s="40"/>
      <c r="AG25" s="39"/>
      <c r="AH25" s="113"/>
      <c r="AI25" s="113"/>
      <c r="AJ25" s="113"/>
      <c r="AK25" s="39"/>
      <c r="AL25" s="39"/>
      <c r="AM25" s="39"/>
      <c r="AN25" s="41"/>
      <c r="AO25" s="40"/>
      <c r="AP25" s="39"/>
      <c r="AQ25" s="39"/>
      <c r="AR25" s="41"/>
      <c r="AS25" s="114"/>
      <c r="AT25" s="3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</row>
    <row r="26" ht="15.75" hidden="1" customHeight="1">
      <c r="A26" s="57"/>
      <c r="B26" s="101"/>
      <c r="C26" s="143"/>
      <c r="D26" s="46"/>
      <c r="E26" s="144"/>
      <c r="F26" s="105"/>
      <c r="G26" s="106"/>
      <c r="H26" s="106"/>
      <c r="I26" s="107" t="str">
        <f t="shared" si="35"/>
        <v/>
      </c>
      <c r="J26" s="105"/>
      <c r="K26" s="106"/>
      <c r="L26" s="106"/>
      <c r="M26" s="107" t="str">
        <f t="shared" si="36"/>
        <v/>
      </c>
      <c r="N26" s="105"/>
      <c r="O26" s="106"/>
      <c r="P26" s="106"/>
      <c r="Q26" s="107" t="str">
        <f t="shared" si="37"/>
        <v/>
      </c>
      <c r="R26" s="105"/>
      <c r="S26" s="106"/>
      <c r="T26" s="106"/>
      <c r="U26" s="107" t="str">
        <f t="shared" si="38"/>
        <v/>
      </c>
      <c r="V26" s="108">
        <f t="shared" si="39"/>
        <v>0</v>
      </c>
      <c r="W26" s="109">
        <f t="shared" si="40"/>
        <v>0</v>
      </c>
      <c r="X26" s="110">
        <f t="shared" si="41"/>
        <v>0</v>
      </c>
      <c r="Y26" s="137"/>
      <c r="Z26" s="109">
        <f t="shared" si="42"/>
        <v>0</v>
      </c>
      <c r="AA26" s="106">
        <f t="shared" si="43"/>
        <v>0</v>
      </c>
      <c r="AB26" s="111">
        <f t="shared" si="44"/>
        <v>0</v>
      </c>
      <c r="AC26" s="9"/>
      <c r="AD26" s="9"/>
      <c r="AE26" s="9"/>
      <c r="AF26" s="40"/>
      <c r="AG26" s="39"/>
      <c r="AH26" s="113"/>
      <c r="AI26" s="113"/>
      <c r="AJ26" s="113"/>
      <c r="AK26" s="40"/>
      <c r="AL26" s="39"/>
      <c r="AM26" s="39"/>
      <c r="AN26" s="41"/>
      <c r="AO26" s="40"/>
      <c r="AP26" s="39"/>
      <c r="AQ26" s="39"/>
      <c r="AR26" s="41"/>
      <c r="AS26" s="114"/>
      <c r="AT26" s="3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</row>
    <row r="27" ht="15.75" hidden="1" customHeight="1">
      <c r="A27" s="57"/>
      <c r="B27" s="101"/>
      <c r="C27" s="143"/>
      <c r="D27" s="46"/>
      <c r="E27" s="144"/>
      <c r="F27" s="59"/>
      <c r="G27" s="60"/>
      <c r="H27" s="60"/>
      <c r="I27" s="61" t="str">
        <f t="shared" si="35"/>
        <v/>
      </c>
      <c r="J27" s="59"/>
      <c r="K27" s="60"/>
      <c r="L27" s="60"/>
      <c r="M27" s="61" t="str">
        <f t="shared" si="36"/>
        <v/>
      </c>
      <c r="N27" s="59"/>
      <c r="O27" s="60"/>
      <c r="P27" s="60"/>
      <c r="Q27" s="61" t="str">
        <f t="shared" si="37"/>
        <v/>
      </c>
      <c r="R27" s="59"/>
      <c r="S27" s="60"/>
      <c r="T27" s="60"/>
      <c r="U27" s="61" t="str">
        <f t="shared" si="38"/>
        <v/>
      </c>
      <c r="V27" s="104">
        <f t="shared" si="39"/>
        <v>0</v>
      </c>
      <c r="W27" s="64">
        <f t="shared" si="40"/>
        <v>0</v>
      </c>
      <c r="X27" s="65">
        <f t="shared" si="41"/>
        <v>0</v>
      </c>
      <c r="Y27" s="137"/>
      <c r="Z27" s="64">
        <f t="shared" si="42"/>
        <v>0</v>
      </c>
      <c r="AA27" s="60">
        <f t="shared" si="43"/>
        <v>0</v>
      </c>
      <c r="AB27" s="66">
        <f t="shared" si="44"/>
        <v>0</v>
      </c>
      <c r="AC27" s="9"/>
      <c r="AD27" s="9"/>
      <c r="AE27" s="9"/>
      <c r="AF27" s="40"/>
      <c r="AG27" s="39"/>
      <c r="AH27" s="113"/>
      <c r="AI27" s="113"/>
      <c r="AJ27" s="25"/>
      <c r="AK27" s="9"/>
      <c r="AL27" s="39"/>
      <c r="AM27" s="39"/>
      <c r="AN27" s="41"/>
      <c r="AO27" s="145"/>
      <c r="AP27" s="113"/>
      <c r="AQ27" s="113"/>
      <c r="AR27" s="41"/>
      <c r="AS27" s="114"/>
      <c r="AT27" s="118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</row>
    <row r="28" ht="15.75" hidden="1" customHeight="1">
      <c r="A28" s="57"/>
      <c r="B28" s="101"/>
      <c r="C28" s="143"/>
      <c r="D28" s="46"/>
      <c r="E28" s="144"/>
      <c r="F28" s="105"/>
      <c r="G28" s="106"/>
      <c r="H28" s="106"/>
      <c r="I28" s="107" t="str">
        <f t="shared" si="35"/>
        <v/>
      </c>
      <c r="J28" s="105"/>
      <c r="K28" s="106"/>
      <c r="L28" s="106"/>
      <c r="M28" s="107" t="str">
        <f t="shared" si="36"/>
        <v/>
      </c>
      <c r="N28" s="105"/>
      <c r="O28" s="106"/>
      <c r="P28" s="106"/>
      <c r="Q28" s="107" t="str">
        <f t="shared" si="37"/>
        <v/>
      </c>
      <c r="R28" s="105"/>
      <c r="S28" s="106"/>
      <c r="T28" s="106"/>
      <c r="U28" s="107" t="str">
        <f t="shared" si="38"/>
        <v/>
      </c>
      <c r="V28" s="108">
        <f t="shared" si="39"/>
        <v>0</v>
      </c>
      <c r="W28" s="109">
        <f t="shared" si="40"/>
        <v>0</v>
      </c>
      <c r="X28" s="117">
        <f t="shared" si="41"/>
        <v>0</v>
      </c>
      <c r="Y28" s="137"/>
      <c r="Z28" s="109">
        <f t="shared" si="42"/>
        <v>0</v>
      </c>
      <c r="AA28" s="106">
        <f t="shared" si="43"/>
        <v>0</v>
      </c>
      <c r="AB28" s="111">
        <f t="shared" si="44"/>
        <v>0</v>
      </c>
      <c r="AC28" s="9"/>
      <c r="AD28" s="9"/>
      <c r="AE28" s="9"/>
      <c r="AF28" s="112"/>
      <c r="AG28" s="9"/>
      <c r="AH28" s="9"/>
      <c r="AI28" s="9"/>
      <c r="AJ28" s="39"/>
      <c r="AK28" s="39"/>
      <c r="AL28" s="39"/>
      <c r="AM28" s="39"/>
      <c r="AN28" s="41"/>
      <c r="AO28" s="113"/>
      <c r="AP28" s="113"/>
      <c r="AQ28" s="113"/>
      <c r="AR28" s="41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</row>
    <row r="29" ht="15.75" hidden="1" customHeight="1">
      <c r="A29" s="57"/>
      <c r="B29" s="101"/>
      <c r="C29" s="143"/>
      <c r="D29" s="46"/>
      <c r="E29" s="144"/>
      <c r="F29" s="59"/>
      <c r="G29" s="60"/>
      <c r="H29" s="60"/>
      <c r="I29" s="61" t="str">
        <f t="shared" si="35"/>
        <v/>
      </c>
      <c r="J29" s="59"/>
      <c r="K29" s="60"/>
      <c r="L29" s="60"/>
      <c r="M29" s="61" t="str">
        <f t="shared" si="36"/>
        <v/>
      </c>
      <c r="N29" s="59"/>
      <c r="O29" s="60"/>
      <c r="P29" s="60"/>
      <c r="Q29" s="61" t="str">
        <f t="shared" si="37"/>
        <v/>
      </c>
      <c r="R29" s="59"/>
      <c r="S29" s="60"/>
      <c r="T29" s="60"/>
      <c r="U29" s="61" t="str">
        <f t="shared" si="38"/>
        <v/>
      </c>
      <c r="V29" s="104">
        <f t="shared" si="39"/>
        <v>0</v>
      </c>
      <c r="W29" s="64">
        <f t="shared" si="40"/>
        <v>0</v>
      </c>
      <c r="X29" s="65">
        <f t="shared" si="41"/>
        <v>0</v>
      </c>
      <c r="Y29" s="137"/>
      <c r="Z29" s="64">
        <f t="shared" si="42"/>
        <v>0</v>
      </c>
      <c r="AA29" s="60">
        <f t="shared" si="43"/>
        <v>0</v>
      </c>
      <c r="AB29" s="66">
        <f t="shared" si="44"/>
        <v>0</v>
      </c>
      <c r="AC29" s="9"/>
      <c r="AD29" s="9"/>
      <c r="AE29" s="9"/>
      <c r="AF29" s="112"/>
      <c r="AG29" s="9"/>
      <c r="AH29" s="9"/>
      <c r="AI29" s="9"/>
      <c r="AJ29" s="39"/>
      <c r="AK29" s="39"/>
      <c r="AL29" s="39"/>
      <c r="AM29" s="39"/>
      <c r="AN29" s="41"/>
      <c r="AO29" s="113"/>
      <c r="AP29" s="113"/>
      <c r="AQ29" s="113"/>
      <c r="AR29" s="41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</row>
    <row r="30" ht="15.75" hidden="1" customHeight="1">
      <c r="A30" s="72"/>
      <c r="B30" s="119"/>
      <c r="C30" s="146"/>
      <c r="D30" s="75">
        <f>ROUND(IFERROR((D24*(G24*H24+K24*L24+O24*P24+S24*T24)+D25*(G25*H25+K25*L25+O25*P25+S25*T25)+D26*(G26*H26+K26*L26+O26*P26+S26*T26)+D27*(G27*H27+K27*L27+O27*P27+S27*T27)+D28*(G28*H28+K28*L28+O28*P28+S28*T28)+D29*(G29*H29+K29*L29+O29*P29+S29*T29))/((G24*H24+K24*L24+O24*P24+S24*T24)+(G25*H25+K25*L25+O25*P25+S25*T25)+(G26*H26+K26*L26+O26*P26+S26*T26)+(G27*H27+K27*L27+O27*P27+S27*T27)+(G28*H28+K28*L28+O28*P28+S28*T28)+(G29*H29+K29*L29+O29*P29+S29*T29)),0),2)</f>
        <v>0</v>
      </c>
      <c r="E30" s="147"/>
      <c r="F30" s="122"/>
      <c r="G30" s="123"/>
      <c r="H30" s="123"/>
      <c r="I30" s="124"/>
      <c r="J30" s="122"/>
      <c r="K30" s="123"/>
      <c r="L30" s="123"/>
      <c r="M30" s="124"/>
      <c r="N30" s="122"/>
      <c r="O30" s="123"/>
      <c r="P30" s="123"/>
      <c r="Q30" s="124"/>
      <c r="R30" s="122"/>
      <c r="S30" s="123"/>
      <c r="T30" s="123"/>
      <c r="U30" s="124"/>
      <c r="V30" s="125">
        <f>SUM(V24:V29)</f>
        <v>0</v>
      </c>
      <c r="W30" s="82">
        <f>IFERROR(V30/AA30,0)</f>
        <v>0</v>
      </c>
      <c r="X30" s="83">
        <f>ROUND(IFERROR(((I24*G24*H24+M24*K24*L24+Q24*O24*P24+U24*S24*T24)+(I25*G25*H25+M25*K25*L25+Q25*O25*P25+U25*S25*T25)+(I26*G26*H26+M26*K26*L26+Q26*O26*P26+U26*S26*T26)+(I27*G27*H27+M27*K27*L27+Q27*O27*P27+U27*S27*T27)+(I28*G28*H28+M28*K28*L28+Q28*O28*P28+U28*S28*T28)+(I29*G29*H29+M29*K29*L29+Q29*O29*P29+U29*S29*T29))/((G24*H24+K24*L24+O24*P24+S24*T24)+(G25*H25+K25*L25+O25*P25+S25*T25)+(G26*H26+K26*L26+O26*P26+S26*T26)+(G27*H27+K27*L27+O27*P27+S27*T27)+(G28*H28+K28*L28+O28*P28+S28*T28)+(G29*H29+K29*L29+O29*P29+S29*T29)),0),3)</f>
        <v>0</v>
      </c>
      <c r="Y30" s="84"/>
      <c r="Z30" s="82">
        <f t="shared" ref="Z30:AA30" si="45">SUM(Z24:Z29)</f>
        <v>0</v>
      </c>
      <c r="AA30" s="85">
        <f t="shared" si="45"/>
        <v>0</v>
      </c>
      <c r="AB30" s="86">
        <f>IF(SUM(AB24:AB29)=0,TIME(,0,),TIME(,SUM(AB24:AB29)+30,))</f>
        <v>0</v>
      </c>
      <c r="AC30" s="9"/>
      <c r="AD30" s="9"/>
      <c r="AE30" s="9"/>
      <c r="AF30" s="112"/>
      <c r="AG30" s="9"/>
      <c r="AH30" s="9"/>
      <c r="AI30" s="9"/>
      <c r="AJ30" s="39"/>
      <c r="AK30" s="39"/>
      <c r="AL30" s="39"/>
      <c r="AM30" s="39"/>
      <c r="AN30" s="41"/>
      <c r="AO30" s="113"/>
      <c r="AP30" s="113"/>
      <c r="AQ30" s="113"/>
      <c r="AR30" s="41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</row>
    <row r="31" ht="15.75" hidden="1" customHeight="1">
      <c r="A31" s="126" t="s">
        <v>36</v>
      </c>
      <c r="B31" s="27"/>
      <c r="C31" s="148"/>
      <c r="D31" s="29"/>
      <c r="E31" s="30"/>
      <c r="F31" s="31"/>
      <c r="G31" s="32"/>
      <c r="H31" s="32"/>
      <c r="I31" s="33" t="str">
        <f t="shared" ref="I31:I36" si="46">IFERROR(ROUND(F31/$Y31,2),)</f>
        <v/>
      </c>
      <c r="J31" s="31"/>
      <c r="K31" s="32"/>
      <c r="L31" s="32"/>
      <c r="M31" s="33" t="str">
        <f t="shared" ref="M31:M36" si="47">IFERROR(ROUND(J31/$Y31,2),)</f>
        <v/>
      </c>
      <c r="N31" s="31"/>
      <c r="O31" s="32"/>
      <c r="P31" s="32"/>
      <c r="Q31" s="33" t="str">
        <f t="shared" ref="Q31:Q36" si="48">IFERROR(ROUND(N31/$Y31,2),)</f>
        <v/>
      </c>
      <c r="R31" s="31"/>
      <c r="S31" s="32"/>
      <c r="T31" s="32"/>
      <c r="U31" s="33" t="str">
        <f t="shared" ref="U31:U36" si="49">IFERROR(ROUND(R31/$Y31,2),)</f>
        <v/>
      </c>
      <c r="V31" s="130">
        <f t="shared" ref="V31:V36" si="50">(IF(ISNUMBER(F31),F31,1)*G31*H31+IF(ISNUMBER(J31),J31,1)*K31*L31+IF(ISNUMBER(N31),N31,1)*O31*P31+IF(ISNUMBER(R31),R31,1)*S31*T31)*IF(ISNUMBER(E31),E31,1)</f>
        <v>0</v>
      </c>
      <c r="W31" s="36">
        <f t="shared" ref="W31:W36" si="51">IFERROR((IF(ISNUMBER(F31),F31,1)*G31*H31+IF(ISNUMBER(J31),J31,1)*K31*L31+IF(ISNUMBER(N31),N31,1)*O31*P31+IF(ISNUMBER(R31),R31,1)*S31*T31)*IF(ISNUMBER(E31),E31,1)/(G31*H31+K31*L31+O31*P31+S31*T31),0)</f>
        <v>0</v>
      </c>
      <c r="X31" s="34">
        <f t="shared" ref="X31:X36" si="52">ROUND(IFERROR((W31/(Y31*IF(ISNUMBER(E31),E31,1))),0),2)</f>
        <v>0</v>
      </c>
      <c r="Y31" s="37"/>
      <c r="Z31" s="36">
        <f t="shared" ref="Z31:Z36" si="53">(IF(I31&lt;30%,0,IF(I31&lt;35%,F31*G31*H31*F!$B$33,IF(I31&lt;40%,F31*G31*H31*F!$B$38,IF(I31&lt;45%,F31*G31*H31*F!$B$43,IF(I31&lt;50%,F31*G31*H31*F!$B$48,IF(I31=50%,F31*G31*H31*F!$B$50,IF(I31=51%,F31*G31*H31*F!$B$51,IF(I31=52%,F31*G31*H31*F!$B$52,IF(I31=53%,F31*G31*H31*F!$B$53,IF(I31=54%,F31*G31*H31*F!$B$54,IF(I31=55%,F31*G31*H31*F!$B$55,IF(I31=56%,F31*G31*H31*F!$B$56,IF(I31=57%,F31*G31*H31*F!$B$57,IF(I31=58%,F31*G31*H31*F!$B$58,IF(I31=59%,F31*G31*H31*F!$B$59,IF(I31=60%,F31*G31*H31*F!$B$60,IF(I31=61%,F31*G31*H31*F!$B$61,IF(I31=62%,F31*G31*H31*F!$B$62,IF(I31=63%,F31*G31*H31*F!$B$63,IF(I31=64%,F31*G31*H31*F!$B$64,IF(I31=65%,F31*G31*H31*F!$B$65,IF(I31=66%,F31*G31*H31*F!$B$66,IF(I31=67%,F31*G31*H31*F!$B$67,IF(I31=68%,F31*G31*H31*F!$B$68,IF(I31=69%,F31*G31*H31*F!$B$69,IF(I31=70%,F31*G31*H31*F!$B$70,IF(I31=71%,F31*G31*H31*F!$B$71,IF(I31=72%,F31*G31*H31*F!$B$72,IF(I31=73%,F31*G31*H31*F!$B$73,IF(I31=74%,F31*G31*H31*F!$B$74,IF(I31=75%,F31*G31*H31*F!$B$75,IF(I31=76%,F31*G31*H31*F!$B$76,IF(I31=77%,F31*G31*H31*F!$B$77,IF(I31=78%,F31*G31*H31*F!$B$78,IF(I31=79%,F31*G31*H31*F!$B$79,IF(I31=80%,F31*G31*H31*F!$B$80,IF(I31=81%,F31*G31*H31*F!$B$81,IF(I31=82%,F31*G31*H31*F!$B$82,IF(I31=83%,F31*G31*H31*F!$B$83,IF(I31=84%,F31*G31*H31*F!$B$84,IF(I31=85%,F31*G31*H31*F!$B$85,IF(I31=86%,F31*G31*H31*F!$B$86,IF(I31=87%,F31*G31*H31*F!$B$87,IF(I31=88%,F31*G31*H31*F!$B$88,IF(I31=89%,F31*G31*H31*F!$B$89,IF(I31=90%,F31*G31*H31*F!$B$90,IF(I31=91%,F31*G31*H31*F!$B$91,IF(I31=92%,F31*G31*H31*F!$B$92,IF(I31=93%,F31*G31*H31*F!$B$93,IF(I31=94%,F31*G31*H31*F!$B$94,IF(I31=95%,F31*G31*H31*F!$B$95,IF(I31=96%,F31*G31*H31*F!$B$96,IF(I31=97%,F31*G31*H31*F!$B$97,IF(I31=98%,F31*G31*H31*F!$B$98,IF(I31=99%,F31*G31*H31*F!$B$99,IF(I31&gt;99%,F31*G31*H31*F!$B$100,))))))))))))))))))))))))))))))))))))))))))))))))))))))))+IF(M31&lt;30%,0,IF(M31&lt;35%,J31*K31*L31*F!$B$33,IF(M31&lt;40%,J31*K31*L31*F!$B$38,IF(M31&lt;45%,J31*K31*L31*F!$B$43,IF(M31&lt;50%,J31*K31*L31*F!$B$48,IF(M31=50%,J31*K31*L31*F!$B$50,IF(M31=51%,J31*K31*L31*F!$B$51,IF(M31=52%,J31*K31*L31*F!$B$52,IF(M31=53%,J31*K31*L31*F!$B$53,IF(M31=54%,J31*K31*L31*F!$B$54,IF(M31=55%,J31*K31*L31*F!$B$55,IF(M31=56%,J31*K31*L31*F!$B$56,IF(M31=57%,J31*K31*L31*F!$B$57,IF(M31=58%,J31*K31*L31*F!$B$58,IF(M31=59%,J31*K31*L31*F!$B$59,IF(M31=60%,J31*K31*L31*F!$B$60,IF(M31=61%,J31*K31*L31*F!$B$61,IF(M31=62%,J31*K31*L31*F!$B$62,IF(M31=63%,J31*K31*L31*F!$B$63,IF(M31=64%,J31*K31*L31*F!$B$64,IF(M31=65%,J31*K31*L31*F!$B$65,IF(M31=66%,J31*K31*L31*F!$B$66,IF(M31=67%,J31*K31*L31*F!$B$67,IF(M31=68%,J31*K31*L31*F!$B$68,IF(M31=69%,J31*K31*L31*F!$B$69,IF(M31=70%,J31*K31*L31*F!$B$70,IF(M31=71%,J31*K31*L31*F!$B$71,IF(M31=72%,J31*K31*L31*F!$B$72,IF(M31=73%,J31*K31*L31*F!$B$73,IF(M31=74%,J31*K31*L31*F!$B$74,IF(M31=75%,J31*K31*L31*F!$B$75,IF(M31=76%,J31*K31*L31*F!$B$76,IF(M31=77%,J31*K31*L31*F!$B$77,IF(M31=78%,J31*K31*L31*F!$B$78,IF(M31=79%,J31*K31*L31*F!$B$79,IF(M31=80%,J31*K31*L31*F!$B$80,IF(M31=81%,J31*K31*L31*F!$B$81,IF(M31=82%,J31*K31*L31*F!$B$82,IF(M31=83%,J31*K31*L31*F!$B$83,IF(M31=84%,J31*K31*L31*F!$B$84,IF(M31=85%,J31*K31*L31*F!$B$85,IF(M31=86%,J31*K31*L31*F!$B$86,IF(M31=87%,J31*K31*L31*F!$B$87,IF(M31=88%,J31*K31*L31*F!$B$88,IF(M31=89%,J31*K31*L31*F!$B$89,IF(M31=90%,J31*K31*L31*F!$B$90,IF(M31=91%,J31*K31*L31*F!$B$91,IF(M31=92%,J31*K31*L31*F!$B$92,IF(M31=93%,J31*K31*L31*F!$B$93,IF(M31=94%,J31*K31*L31*F!$B$94,IF(M31=95%,J31*K31*L31*F!$B$95,IF(M31=96%,J31*K31*L31*F!$B$96,IF(M31=97%,J31*K31*L31*F!$B$97,IF(M31=98%,J31*K31*L31*F!$B$98,IF(M31=99%,J31*K31*L31*F!$B$99,IF(M31&gt;99%,J31*K31*L31*F!$B$100,))))))))))))))))))))))))))))))))))))))))))))))))))))))))+IF(Q31&lt;30%,0,IF(Q31&lt;35%,N31*O31*P31*F!$B$33,IF(Q31&lt;40%,N31*O31*P31*F!$B$38,IF(Q31&lt;45%,N31*O31*P31*F!$B$43,IF(Q31&lt;50%,N31*O31*P31*F!$B$48,IF(Q31=50%,N31*O31*P31*F!$B$50,IF(Q31=51%,N31*O31*P31*F!$B$51,IF(Q31=52%,N31*O31*P31*F!$B$52,IF(Q31=53%,N31*O31*P31*F!$B$53,IF(Q31=54%,N31*O31*P31*F!$B$54,IF(Q31=55%,N31*O31*P31*F!$B$55,IF(Q31=56%,N31*O31*P31*F!$B$56,IF(Q31=57%,N31*O31*P31*F!$B$57,IF(Q31=58%,N31*O31*P31*F!$B$58,IF(Q31=59%,N31*O31*P31*F!$B$59,IF(Q31=60%,N31*O31*P31*F!$B$60,IF(Q31=61%,N31*O31*P31*F!$B$61,IF(Q31=62%,N31*O31*P31*F!$B$62,IF(Q31=63%,N31*O31*P31*F!$B$63,IF(Q31=64%,N31*O31*P31*F!$B$64,IF(Q31=65%,N31*O31*P31*F!$B$65,IF(Q31=66%,N31*O31*P31*F!$B$66,IF(Q31=67%,N31*O31*P31*F!$B$67,IF(Q31=68%,N31*O31*P31*F!$B$68,IF(Q31=69%,N31*O31*P31*F!$B$69,IF(Q31=70%,N31*O31*P31*F!$B$70,IF(Q31=71%,N31*O31*P31*F!$B$71,IF(Q31=72%,N31*O31*P31*F!$B$72,IF(Q31=73%,N31*O31*P31*F!$B$73,IF(Q31=74%,N31*O31*P31*F!$B$74,IF(Q31=75%,N31*O31*P31*F!$B$75,IF(Q31=76%,N31*O31*P31*F!$B$76,IF(Q31=77%,N31*O31*P31*F!$B$77,IF(Q31=78%,N31*O31*P31*F!$B$78,IF(Q31=79%,N31*O31*P31*F!$B$79,IF(Q31=80%,N31*O31*P31*F!$B$80,IF(Q31=81%,N31*O31*P31*F!$B$81,IF(Q31=82%,N31*O31*P31*F!$B$82,IF(Q31=83%,N31*O31*P31*F!$B$83,IF(Q31=84%,N31*O31*P31*F!$B$84,IF(Q31=85%,N31*O31*P31*F!$B$85,IF(Q31=86%,N31*O31*P31*F!$B$86,IF(Q31=87%,N31*O31*P31*F!$B$87,IF(Q31=88%,N31*O31*P31*F!$B$88,IF(Q31=89%,N31*O31*P31*F!$B$89,IF(Q31=90%,N31*O31*P31*F!$B$90,IF(Q31=91%,N31*O31*P31*F!$B$91,IF(Q31=92%,N31*O31*P31*F!$B$92,IF(Q31=93%,N31*O31*P31*F!$B$93,IF(Q31=94%,N31*O31*P31*F!$B$94,IF(Q31=95%,N31*O31*P31*F!$B$95,IF(Q31=96%,N31*O31*P31*F!$B$96,IF(Q31=97%,N31*O31*P31*F!$B$97,IF(Q31=98%,N31*O31*P31*F!$B$98,IF(Q31=99%,N31*O31*P31*F!$B$99,IF(Q31&gt;99%,N31*O31*P31*F!$B$100,))))))))))))))))))))))))))))))))))))))))))))))))))))))))+IF(U31&lt;30%,0,IF(U31&lt;35%,R31*S31*T31*F!$B$33,IF(U31&lt;40%,R31*S31*T31*F!$B$38,IF(U31&lt;45%,R31*S31*T31*F!$B$43,IF(U31&lt;50%,R31*S31*T31*F!$B$48,IF(U31=50%,R31*S31*T31*F!$B$50,IF(U31=51%,R31*S31*T31*F!$B$51,IF(U31=52%,R31*S31*T31*F!$B$52,IF(U31=53%,R31*S31*T31*F!$B$53,IF(U31=54%,R31*S31*T31*F!$B$54,IF(U31=55%,R31*S31*T31*F!$B$55,IF(U31=56%,R31*S31*T31*F!$B$56,IF(U31=57%,R31*S31*T31*F!$B$57,IF(U31=58%,R31*S31*T31*F!$B$58,IF(U31=59%,R31*S31*T31*F!$B$59,IF(U31=60%,R31*S31*T31*F!$B$60,IF(U31=61%,R31*S31*T31*F!$B$61,IF(U31=62%,R31*S31*T31*F!$B$62,IF(U31=63%,R31*S31*T31*F!$B$63,IF(U31=64%,R31*S31*T31*F!$B$64,IF(U31=65%,R31*S31*T31*F!$B$65,IF(U31=66%,R31*S31*T31*F!$B$66,IF(U31=67%,R31*S31*T31*F!$B$67,IF(U31=68%,R31*S31*T31*F!$B$68,IF(U31=69%,R31*S31*T31*F!$B$69,IF(U31=70%,R31*S31*T31*F!$B$70,IF(U31=71%,R31*S31*T31*F!$B$71,IF(U31=72%,R31*S31*T31*F!$B$72,IF(U31=73%,R31*S31*T31*F!$B$73,IF(U31=74%,R31*S31*T31*F!$B$74,IF(U31=75%,R31*S31*T31*F!$B$75,IF(U31=76%,R31*S31*T31*F!$B$76,IF(U31=77%,R31*S31*T31*F!$B$77,IF(U31=78%,R31*S31*T31*F!$B$78,IF(U31=79%,R31*S31*T31*F!$B$79,IF(U31=80%,R31*S31*T31*F!$B$80,IF(U31=81%,R31*S31*T31*F!$B$81,IF(U31=82%,R31*S31*T31*F!$B$82,IF(U31=83%,R31*S31*T31*F!$B$83,IF(U31=84%,R31*S31*T31*F!$B$84,IF(U31=85%,R31*S31*T31*F!$B$85,IF(U31=86%,R31*S31*T31*F!$B$86,IF(U31=87%,R31*S31*T31*F!$B$87,IF(U31=88%,R31*S31*T31*F!$B$88,IF(U31=89%,R31*S31*T31*F!$B$89,IF(U31=90%,R31*S31*T31*F!$B$90,IF(U31=91%,R31*S31*T31*F!$B$91,IF(U31=92%,R31*S31*T31*F!$B$92,IF(U31=93%,R31*S31*T31*F!$B$93,IF(U31=94%,R31*S31*T31*F!$B$94,IF(U31=95%,R31*S31*T31*F!$B$95,IF(U31=96%,R31*S31*T31*F!$B$96,IF(U31=97%,R31*S31*T31*F!$B$97,IF(U31=98%,R31*S31*T31*F!$B$98,IF(U31=99%,R31*S31*T31*F!$B$99,IF(U31&gt;99%,R31*S31*T31*F!$B$100)))))))))))))))))))))))))))))))))))))))))))))))))))))))))*IF(ISNUMBER(E31),E31,1)*IF(ISNUMBER(D31),D31,1)</f>
        <v>0</v>
      </c>
      <c r="AA31" s="32">
        <f t="shared" ref="AA31:AA36" si="54">G31*H31+K31*L31+O31*P31+S31*T31</f>
        <v>0</v>
      </c>
      <c r="AB31" s="38">
        <f t="shared" ref="AB31:AB36" si="55">(H31*(IF(I31&lt;45%,0.5,IF(I31&lt;55%,0.8,IF(I31&lt;65%,0.9,IF(I31&lt;75%,1,IF(I31&lt;85%,1.1,1.2))))))+L31*(IF(M31&lt;45%,0.5,IF(M31&lt;55%,0.8,IF(M31&lt;65%,0.9,IF(M31&lt;75%,1,IF(M31&lt;85%,1.1,1.2))))))+P31*(IF(Q31&lt;45%,0.5,IF(Q31&lt;55%,0.8,IF(Q31&lt;65%,0.9,IF(Q31&lt;75%,1,IF(Q31&lt;85%,1.1,1.2))))))+T31*(IF(U31&lt;45%,0.5,IF(U31&lt;55%,0.8,IF(U31&lt;65%,0.9,IF(U31&lt;75%,1,IF(U31&lt;85%,1.1,1.2)))))))*IF(D31&gt;=0.8,6,IF(D31&lt;=0.4,1.5,3))</f>
        <v>0</v>
      </c>
      <c r="AC31" s="9"/>
      <c r="AD31" s="9"/>
      <c r="AE31" s="9"/>
      <c r="AF31" s="112"/>
      <c r="AG31" s="9"/>
      <c r="AH31" s="9"/>
      <c r="AI31" s="9"/>
      <c r="AJ31" s="39"/>
      <c r="AK31" s="39"/>
      <c r="AL31" s="39"/>
      <c r="AM31" s="39"/>
      <c r="AN31" s="41"/>
      <c r="AO31" s="113"/>
      <c r="AP31" s="113"/>
      <c r="AQ31" s="113"/>
      <c r="AR31" s="41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</row>
    <row r="32" ht="15.75" hidden="1" customHeight="1">
      <c r="A32" s="142">
        <f>A25+1</f>
        <v>42337</v>
      </c>
      <c r="B32" s="44"/>
      <c r="C32" s="149"/>
      <c r="D32" s="46"/>
      <c r="E32" s="47"/>
      <c r="F32" s="48"/>
      <c r="G32" s="49"/>
      <c r="H32" s="49"/>
      <c r="I32" s="50" t="str">
        <f t="shared" si="46"/>
        <v/>
      </c>
      <c r="J32" s="48"/>
      <c r="K32" s="49"/>
      <c r="L32" s="49"/>
      <c r="M32" s="50" t="str">
        <f t="shared" si="47"/>
        <v/>
      </c>
      <c r="N32" s="48"/>
      <c r="O32" s="49"/>
      <c r="P32" s="49"/>
      <c r="Q32" s="50" t="str">
        <f t="shared" si="48"/>
        <v/>
      </c>
      <c r="R32" s="48"/>
      <c r="S32" s="49"/>
      <c r="T32" s="49"/>
      <c r="U32" s="50" t="str">
        <f t="shared" si="49"/>
        <v/>
      </c>
      <c r="V32" s="134">
        <f t="shared" si="50"/>
        <v>0</v>
      </c>
      <c r="W32" s="53">
        <f t="shared" si="51"/>
        <v>0</v>
      </c>
      <c r="X32" s="54">
        <f t="shared" si="52"/>
        <v>0</v>
      </c>
      <c r="Y32" s="137"/>
      <c r="Z32" s="53">
        <f t="shared" si="53"/>
        <v>0</v>
      </c>
      <c r="AA32" s="49">
        <f t="shared" si="54"/>
        <v>0</v>
      </c>
      <c r="AB32" s="56">
        <f t="shared" si="55"/>
        <v>0</v>
      </c>
      <c r="AC32" s="9"/>
      <c r="AD32" s="9"/>
      <c r="AE32" s="9"/>
      <c r="AF32" s="112"/>
      <c r="AG32" s="9"/>
      <c r="AH32" s="9"/>
      <c r="AI32" s="9"/>
      <c r="AJ32" s="39"/>
      <c r="AK32" s="39"/>
      <c r="AL32" s="39"/>
      <c r="AM32" s="39"/>
      <c r="AN32" s="41"/>
      <c r="AO32" s="113"/>
      <c r="AP32" s="113"/>
      <c r="AQ32" s="113"/>
      <c r="AR32" s="41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</row>
    <row r="33" ht="15.75" hidden="1" customHeight="1">
      <c r="A33" s="57"/>
      <c r="B33" s="44"/>
      <c r="C33" s="149"/>
      <c r="D33" s="46"/>
      <c r="E33" s="47"/>
      <c r="F33" s="59"/>
      <c r="G33" s="60"/>
      <c r="H33" s="60"/>
      <c r="I33" s="61" t="str">
        <f t="shared" si="46"/>
        <v/>
      </c>
      <c r="J33" s="59"/>
      <c r="K33" s="60"/>
      <c r="L33" s="60"/>
      <c r="M33" s="61" t="str">
        <f t="shared" si="47"/>
        <v/>
      </c>
      <c r="N33" s="59"/>
      <c r="O33" s="60"/>
      <c r="P33" s="60"/>
      <c r="Q33" s="61" t="str">
        <f t="shared" si="48"/>
        <v/>
      </c>
      <c r="R33" s="59"/>
      <c r="S33" s="60"/>
      <c r="T33" s="60"/>
      <c r="U33" s="61" t="str">
        <f t="shared" si="49"/>
        <v/>
      </c>
      <c r="V33" s="104">
        <f t="shared" si="50"/>
        <v>0</v>
      </c>
      <c r="W33" s="64">
        <f t="shared" si="51"/>
        <v>0</v>
      </c>
      <c r="X33" s="65">
        <f t="shared" si="52"/>
        <v>0</v>
      </c>
      <c r="Y33" s="137"/>
      <c r="Z33" s="64">
        <f t="shared" si="53"/>
        <v>0</v>
      </c>
      <c r="AA33" s="60">
        <f t="shared" si="54"/>
        <v>0</v>
      </c>
      <c r="AB33" s="66">
        <f t="shared" si="55"/>
        <v>0</v>
      </c>
      <c r="AC33" s="9"/>
      <c r="AD33" s="9"/>
      <c r="AE33" s="9"/>
      <c r="AF33" s="112"/>
      <c r="AG33" s="9"/>
      <c r="AH33" s="9"/>
      <c r="AI33" s="9"/>
      <c r="AJ33" s="39"/>
      <c r="AK33" s="39"/>
      <c r="AL33" s="39"/>
      <c r="AM33" s="39"/>
      <c r="AN33" s="41"/>
      <c r="AO33" s="113"/>
      <c r="AP33" s="113"/>
      <c r="AQ33" s="113"/>
      <c r="AR33" s="41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</row>
    <row r="34" ht="15.75" hidden="1" customHeight="1">
      <c r="A34" s="57"/>
      <c r="B34" s="44"/>
      <c r="C34" s="149"/>
      <c r="D34" s="46"/>
      <c r="E34" s="47"/>
      <c r="F34" s="48"/>
      <c r="G34" s="49"/>
      <c r="H34" s="49"/>
      <c r="I34" s="50" t="str">
        <f t="shared" si="46"/>
        <v/>
      </c>
      <c r="J34" s="48"/>
      <c r="K34" s="49"/>
      <c r="L34" s="49"/>
      <c r="M34" s="50" t="str">
        <f t="shared" si="47"/>
        <v/>
      </c>
      <c r="N34" s="48"/>
      <c r="O34" s="49"/>
      <c r="P34" s="49"/>
      <c r="Q34" s="50" t="str">
        <f t="shared" si="48"/>
        <v/>
      </c>
      <c r="R34" s="48"/>
      <c r="S34" s="49"/>
      <c r="T34" s="49"/>
      <c r="U34" s="50" t="str">
        <f t="shared" si="49"/>
        <v/>
      </c>
      <c r="V34" s="134">
        <f t="shared" si="50"/>
        <v>0</v>
      </c>
      <c r="W34" s="53">
        <f t="shared" si="51"/>
        <v>0</v>
      </c>
      <c r="X34" s="54">
        <f t="shared" si="52"/>
        <v>0</v>
      </c>
      <c r="Y34" s="137"/>
      <c r="Z34" s="53">
        <f t="shared" si="53"/>
        <v>0</v>
      </c>
      <c r="AA34" s="49">
        <f t="shared" si="54"/>
        <v>0</v>
      </c>
      <c r="AB34" s="56">
        <f t="shared" si="55"/>
        <v>0</v>
      </c>
      <c r="AC34" s="9"/>
      <c r="AD34" s="9"/>
      <c r="AE34" s="9"/>
      <c r="AF34" s="112"/>
      <c r="AG34" s="9"/>
      <c r="AH34" s="9"/>
      <c r="AI34" s="9"/>
      <c r="AJ34" s="39"/>
      <c r="AK34" s="39"/>
      <c r="AL34" s="39"/>
      <c r="AM34" s="39"/>
      <c r="AN34" s="41"/>
      <c r="AO34" s="113"/>
      <c r="AP34" s="113"/>
      <c r="AQ34" s="113"/>
      <c r="AR34" s="41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</row>
    <row r="35" ht="15.75" hidden="1" customHeight="1">
      <c r="A35" s="57"/>
      <c r="B35" s="44"/>
      <c r="C35" s="149"/>
      <c r="D35" s="46"/>
      <c r="E35" s="47"/>
      <c r="F35" s="59"/>
      <c r="G35" s="60"/>
      <c r="H35" s="60"/>
      <c r="I35" s="61" t="str">
        <f t="shared" si="46"/>
        <v/>
      </c>
      <c r="J35" s="59"/>
      <c r="K35" s="60"/>
      <c r="L35" s="60"/>
      <c r="M35" s="61" t="str">
        <f t="shared" si="47"/>
        <v/>
      </c>
      <c r="N35" s="59"/>
      <c r="O35" s="60"/>
      <c r="P35" s="60"/>
      <c r="Q35" s="61" t="str">
        <f t="shared" si="48"/>
        <v/>
      </c>
      <c r="R35" s="59"/>
      <c r="S35" s="60"/>
      <c r="T35" s="60"/>
      <c r="U35" s="61" t="str">
        <f t="shared" si="49"/>
        <v/>
      </c>
      <c r="V35" s="104">
        <f t="shared" si="50"/>
        <v>0</v>
      </c>
      <c r="W35" s="64">
        <f t="shared" si="51"/>
        <v>0</v>
      </c>
      <c r="X35" s="62">
        <f t="shared" si="52"/>
        <v>0</v>
      </c>
      <c r="Y35" s="137"/>
      <c r="Z35" s="64">
        <f t="shared" si="53"/>
        <v>0</v>
      </c>
      <c r="AA35" s="60">
        <f t="shared" si="54"/>
        <v>0</v>
      </c>
      <c r="AB35" s="66">
        <f t="shared" si="55"/>
        <v>0</v>
      </c>
      <c r="AC35" s="9"/>
      <c r="AD35" s="9"/>
      <c r="AE35" s="9"/>
      <c r="AF35" s="112"/>
      <c r="AG35" s="9"/>
      <c r="AH35" s="9"/>
      <c r="AI35" s="9"/>
      <c r="AJ35" s="39"/>
      <c r="AK35" s="39"/>
      <c r="AL35" s="39"/>
      <c r="AM35" s="39"/>
      <c r="AN35" s="41"/>
      <c r="AO35" s="113"/>
      <c r="AP35" s="113"/>
      <c r="AQ35" s="113"/>
      <c r="AR35" s="41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</row>
    <row r="36" ht="15.75" hidden="1" customHeight="1">
      <c r="A36" s="57"/>
      <c r="B36" s="44"/>
      <c r="C36" s="149"/>
      <c r="D36" s="46"/>
      <c r="E36" s="47"/>
      <c r="F36" s="48"/>
      <c r="G36" s="49"/>
      <c r="H36" s="49"/>
      <c r="I36" s="50" t="str">
        <f t="shared" si="46"/>
        <v/>
      </c>
      <c r="J36" s="48"/>
      <c r="K36" s="49"/>
      <c r="L36" s="49"/>
      <c r="M36" s="50" t="str">
        <f t="shared" si="47"/>
        <v/>
      </c>
      <c r="N36" s="48"/>
      <c r="O36" s="49"/>
      <c r="P36" s="49"/>
      <c r="Q36" s="50" t="str">
        <f t="shared" si="48"/>
        <v/>
      </c>
      <c r="R36" s="48"/>
      <c r="S36" s="49"/>
      <c r="T36" s="49"/>
      <c r="U36" s="50" t="str">
        <f t="shared" si="49"/>
        <v/>
      </c>
      <c r="V36" s="134">
        <f t="shared" si="50"/>
        <v>0</v>
      </c>
      <c r="W36" s="53">
        <f t="shared" si="51"/>
        <v>0</v>
      </c>
      <c r="X36" s="54">
        <f t="shared" si="52"/>
        <v>0</v>
      </c>
      <c r="Y36" s="137"/>
      <c r="Z36" s="53">
        <f t="shared" si="53"/>
        <v>0</v>
      </c>
      <c r="AA36" s="49">
        <f t="shared" si="54"/>
        <v>0</v>
      </c>
      <c r="AB36" s="56">
        <f t="shared" si="55"/>
        <v>0</v>
      </c>
      <c r="AC36" s="9"/>
      <c r="AD36" s="9"/>
      <c r="AE36" s="9"/>
      <c r="AF36" s="112"/>
      <c r="AG36" s="9"/>
      <c r="AH36" s="9"/>
      <c r="AI36" s="9"/>
      <c r="AJ36" s="39"/>
      <c r="AK36" s="39"/>
      <c r="AL36" s="39"/>
      <c r="AM36" s="39"/>
      <c r="AN36" s="41"/>
      <c r="AO36" s="113"/>
      <c r="AP36" s="113"/>
      <c r="AQ36" s="113"/>
      <c r="AR36" s="41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</row>
    <row r="37" ht="15.75" hidden="1" customHeight="1">
      <c r="A37" s="72"/>
      <c r="B37" s="73"/>
      <c r="C37" s="150"/>
      <c r="D37" s="75">
        <f>ROUND(IFERROR((D31*(G31*H31+K31*L31+O31*P31+S31*T31)+D32*(G32*H32+K32*L32+O32*P32+S32*T32)+D33*(G33*H33+K33*L33+O33*P33+S33*T33)+D34*(G34*H34+K34*L34+O34*P34+S34*T34)+D35*(G35*H35+K35*L35+O35*P35+S35*T35)+D36*(G36*H36+K36*L36+O36*P36+S36*T36))/((G31*H31+K31*L31+O31*P31+S31*T31)+(G32*H32+K32*L32+O32*P32+S32*T32)+(G33*H33+K33*L33+O33*P33+S33*T33)+(G34*H34+K34*L34+O34*P34+S34*T34)+(G35*H35+K35*L35+O35*P35+S35*T35)+(G36*H36+K36*L36+O36*P36+S36*T36)),0),2)</f>
        <v>0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125">
        <f>SUM(V31:V36)</f>
        <v>0</v>
      </c>
      <c r="W37" s="82">
        <f t="shared" ref="W37:W38" si="57">IFERROR(V37/AA37,0)</f>
        <v>0</v>
      </c>
      <c r="X37" s="83">
        <f>ROUND(IFERROR(((I31*G31*H31+M31*K31*L31+Q31*O31*P31+U31*S31*T31)+(I32*G32*H32+M32*K32*L32+Q32*O32*P32+U32*S32*T32)+(I33*G33*H33+M33*K33*L33+Q33*O33*P33+U33*S33*T33)+(I34*G34*H34+M34*K34*L34+Q34*O34*P34+U34*S34*T34)+(I35*G35*H35+M35*K35*L35+Q35*O35*P35+U35*S35*T35)+(I36*G36*H36+M36*K36*L36+Q36*O36*P36+U36*S36*T36))/((G31*H31+K31*L31+O31*P31+S31*T31)+(G32*H32+K32*L32+O32*P32+S32*T32)+(G33*H33+K33*L33+O33*P33+S33*T33)+(G34*H34+K34*L34+O34*P34+S34*T34)+(G35*H35+K35*L35+O35*P35+S35*T35)+(G36*H36+K36*L36+O36*P36+S36*T36)),0),3)</f>
        <v>0</v>
      </c>
      <c r="Y37" s="84"/>
      <c r="Z37" s="82">
        <f t="shared" ref="Z37:AA37" si="56">SUM(Z31:Z36)</f>
        <v>0</v>
      </c>
      <c r="AA37" s="85">
        <f t="shared" si="56"/>
        <v>0</v>
      </c>
      <c r="AB37" s="86">
        <f>IF(SUM(AB31:AB36)=0,TIME(,0,),TIME(,SUM(AB31:AB36)+30,))</f>
        <v>0</v>
      </c>
      <c r="AC37" s="9"/>
      <c r="AD37" s="9"/>
      <c r="AE37" s="9"/>
      <c r="AF37" s="112"/>
      <c r="AG37" s="9"/>
      <c r="AH37" s="9"/>
      <c r="AI37" s="9"/>
      <c r="AJ37" s="39"/>
      <c r="AK37" s="39"/>
      <c r="AL37" s="39"/>
      <c r="AM37" s="39"/>
      <c r="AN37" s="41"/>
      <c r="AO37" s="113"/>
      <c r="AP37" s="113"/>
      <c r="AQ37" s="113"/>
      <c r="AR37" s="41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</row>
    <row r="38" ht="15.75" customHeight="1">
      <c r="A38" s="151" t="s">
        <v>45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"/>
      <c r="V38" s="152">
        <f>V46+V53+V60+V67+V74</f>
        <v>15192.2</v>
      </c>
      <c r="W38" s="153">
        <f t="shared" si="57"/>
        <v>19.50218228</v>
      </c>
      <c r="X38" s="154"/>
      <c r="Y38" s="155">
        <v>0.01</v>
      </c>
      <c r="Z38" s="156" t="str">
        <f t="shared" ref="Z38:AB38" si="58">Z46+Z53+Z60+Z67+Z74</f>
        <v>#REF!</v>
      </c>
      <c r="AA38" s="154">
        <f t="shared" si="58"/>
        <v>779</v>
      </c>
      <c r="AB38" s="157">
        <f t="shared" si="58"/>
        <v>0.1951388889</v>
      </c>
      <c r="AC38" s="9"/>
      <c r="AD38" s="9"/>
      <c r="AE38" s="9"/>
      <c r="AF38" s="112"/>
      <c r="AG38" s="9"/>
      <c r="AH38" s="9"/>
      <c r="AI38" s="9"/>
      <c r="AJ38" s="39"/>
      <c r="AK38" s="39"/>
      <c r="AL38" s="39"/>
      <c r="AM38" s="39"/>
      <c r="AN38" s="41"/>
      <c r="AO38" s="113"/>
      <c r="AP38" s="113"/>
      <c r="AQ38" s="113"/>
      <c r="AR38" s="41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</row>
    <row r="39">
      <c r="A39" s="15" t="s">
        <v>1</v>
      </c>
      <c r="B39" s="158" t="s">
        <v>2</v>
      </c>
      <c r="C39" s="159" t="s">
        <v>3</v>
      </c>
      <c r="D39" s="160" t="s">
        <v>46</v>
      </c>
      <c r="E39" s="18" t="s">
        <v>5</v>
      </c>
      <c r="F39" s="158" t="s">
        <v>6</v>
      </c>
      <c r="G39" s="158" t="s">
        <v>7</v>
      </c>
      <c r="H39" s="158" t="s">
        <v>8</v>
      </c>
      <c r="I39" s="158" t="s">
        <v>9</v>
      </c>
      <c r="J39" s="158" t="s">
        <v>6</v>
      </c>
      <c r="K39" s="158" t="s">
        <v>7</v>
      </c>
      <c r="L39" s="158" t="s">
        <v>8</v>
      </c>
      <c r="M39" s="158" t="s">
        <v>9</v>
      </c>
      <c r="N39" s="158" t="s">
        <v>6</v>
      </c>
      <c r="O39" s="158" t="s">
        <v>7</v>
      </c>
      <c r="P39" s="158" t="s">
        <v>8</v>
      </c>
      <c r="Q39" s="158" t="s">
        <v>9</v>
      </c>
      <c r="R39" s="158" t="s">
        <v>6</v>
      </c>
      <c r="S39" s="158" t="s">
        <v>7</v>
      </c>
      <c r="T39" s="158" t="s">
        <v>8</v>
      </c>
      <c r="U39" s="158" t="s">
        <v>9</v>
      </c>
      <c r="V39" s="158" t="s">
        <v>10</v>
      </c>
      <c r="W39" s="160" t="s">
        <v>11</v>
      </c>
      <c r="X39" s="160" t="s">
        <v>12</v>
      </c>
      <c r="Y39" s="161" t="s">
        <v>13</v>
      </c>
      <c r="Z39" s="162" t="s">
        <v>14</v>
      </c>
      <c r="AA39" s="158" t="s">
        <v>15</v>
      </c>
      <c r="AB39" s="163" t="s">
        <v>16</v>
      </c>
      <c r="AC39" s="9"/>
      <c r="AD39" s="9"/>
      <c r="AE39" s="9"/>
      <c r="AF39" s="112"/>
      <c r="AG39" s="9"/>
      <c r="AH39" s="9"/>
      <c r="AI39" s="9"/>
      <c r="AJ39" s="39"/>
      <c r="AK39" s="39"/>
      <c r="AL39" s="39"/>
      <c r="AM39" s="39"/>
      <c r="AN39" s="41"/>
      <c r="AO39" s="113"/>
      <c r="AP39" s="113"/>
      <c r="AQ39" s="113"/>
      <c r="AR39" s="41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</row>
    <row r="40" ht="15.75" customHeight="1">
      <c r="A40" s="26" t="s">
        <v>17</v>
      </c>
      <c r="B40" s="27" t="str">
        <f t="shared" ref="B40:C40" si="59">IF(B3="","",B3)</f>
        <v>Средняя</v>
      </c>
      <c r="C40" s="148" t="str">
        <f t="shared" si="59"/>
        <v>Ягодичный мост со штангой</v>
      </c>
      <c r="D40" s="29">
        <f t="shared" ref="D40:D45" si="60">D3</f>
        <v>1</v>
      </c>
      <c r="E40" s="30" t="str">
        <f t="shared" ref="E40:E74" si="61">IF(E3="","",E3)</f>
        <v/>
      </c>
      <c r="F40" s="31">
        <f t="shared" ref="F40:F45" si="62">IF(I40&lt;&gt;0,(IFERROR(IF($Y40&gt;50,MROUND($Y40*I40,2.5),IF($Y40&lt;15,MROUND($Y40*I40,0.1),MROUND($Y40*I40,1))),)),"")</f>
        <v>37.5</v>
      </c>
      <c r="G40" s="32">
        <v>10.0</v>
      </c>
      <c r="H40" s="32">
        <v>1.0</v>
      </c>
      <c r="I40" s="33">
        <v>0.42</v>
      </c>
      <c r="J40" s="31">
        <f t="shared" ref="J40:J45" si="63">IF(M40&lt;&gt;0,(IFERROR(IF($Y40&gt;50,MROUND($Y40*M40,2.5),IF($Y40&lt;15,MROUND($Y40*M40,0.1),MROUND($Y40*M40,1))),)),"")</f>
        <v>60</v>
      </c>
      <c r="K40" s="32">
        <v>8.0</v>
      </c>
      <c r="L40" s="32">
        <v>3.0</v>
      </c>
      <c r="M40" s="33">
        <v>0.65</v>
      </c>
      <c r="N40" s="31" t="str">
        <f t="shared" ref="N40:N45" si="64">IF(Q40&lt;&gt;0,(IFERROR(IF($Y40&gt;50,MROUND($Y40*Q40,2.5),IF($Y40&lt;15,MROUND($Y40*Q40,0.1),MROUND($Y40*Q40,1))),)),"")</f>
        <v/>
      </c>
      <c r="O40" s="32"/>
      <c r="P40" s="32"/>
      <c r="Q40" s="33">
        <v>0.0</v>
      </c>
      <c r="R40" s="31" t="str">
        <f t="shared" ref="R40:R45" si="65">IF(U40&lt;&gt;0,(IFERROR(IF($Y40&gt;50,MROUND($Y40*U40,2.5),IF($Y40&lt;15,MROUND($Y40*U40,0.1),MROUND($Y40*U40,1))),)),"")</f>
        <v/>
      </c>
      <c r="S40" s="32"/>
      <c r="T40" s="32"/>
      <c r="U40" s="34">
        <v>0.0</v>
      </c>
      <c r="V40" s="35">
        <f t="shared" ref="V40:V45" si="66">(IF(ISNUMBER(F40),F40,1)*G40*H40+IF(ISNUMBER(J40),J40,1)*K40*L40+IF(ISNUMBER(N40),N40,1)*O40*P40+IF(ISNUMBER(R40),R40,1)*S40*T40)*IF(ISNUMBER(E40),E40,1)</f>
        <v>1815</v>
      </c>
      <c r="W40" s="36">
        <f t="shared" ref="W40:W45" si="67">IFERROR((IF(ISNUMBER(F40),F40,1)*G40*H40+IF(ISNUMBER(J40),J40,1)*K40*L40+IF(ISNUMBER(N40),N40,1)*O40*P40+IF(ISNUMBER(R40),R40,1)*S40*T40)*IF(ISNUMBER(E40),E40,1)/(G40*H40+K40*L40+O40*P40+S40*T40),0)</f>
        <v>53.38235294</v>
      </c>
      <c r="X40" s="34">
        <f t="shared" ref="X40:X45" si="68">ROUND(IFERROR((W40/(Y40*IF(ISNUMBER(E40),E40,1))),0),2)</f>
        <v>0.59</v>
      </c>
      <c r="Y40" s="37">
        <f t="shared" ref="Y40:Y45" si="69">IF(ISNUMBER(Y3), Y3+(Y3*$Y$38),"")</f>
        <v>90.9</v>
      </c>
      <c r="Z40" s="36" t="str">
        <f t="shared" ref="Z40:Z45" si="70">(IF(I40&lt;30%,0,IF(I40&lt;35%,F40*G40*H40*F!$B$33,IF(I40&lt;40%,F40*G40*H40*F!$B$38,IF(I40&lt;45%,F40*G40*H40*F!$B$43,IF(I40&lt;50%,F40*G40*H40*F!$B$48,IF(I40=50%,F40*G40*H40*F!$B$50,IF(I40=51%,F40*G40*H40*F!$B$51,IF(I40=52%,F40*G40*H40*F!$B$52,IF(I40=53%,F40*G40*H40*F!$B$53,IF(I40=54%,F40*G40*H40*F!$B$54,IF(I40=55%,F40*G40*H40*F!$B$55,IF(I40=56%,F40*G40*H40*F!$B$56,IF(I40=57%,F40*G40*H40*F!$B$57,IF(I40=58%,F40*G40*H40*F!$B$58,IF(I40=59%,F40*G40*H40*F!$B$59,IF(I40=60%,F40*G40*H40*F!$B$60,IF(I40=61%,F40*G40*H40*F!$B$61,IF(I40=62%,F40*G40*H40*F!$B$62,IF(I40=63%,F40*G40*H40*F!$B$63,IF(I40=64%,F40*G40*H40*F!$B$64,IF(I40=65%,F40*G40*H40*F!$B$65,IF(I40=66%,F40*G40*H40*F!$B$66,IF(I40=67%,F40*G40*H40*F!$B$67,IF(I40=68%,F40*G40*H40*F!$B$68,IF(I40=69%,F40*G40*H40*F!$B$69,IF(I40=70%,F40*G40*H40*F!$B$70,IF(I40=71%,F40*G40*H40*F!$B$71,IF(I40=72%,F40*G40*H40*F!$B$72,IF(I40=73%,F40*G40*H40*F!$B$73,IF(I40=74%,F40*G40*H40*F!$B$74,IF(I40=75%,F40*G40*H40*F!$B$75,IF(I40=76%,F40*G40*H40*F!$B$76,IF(I40=77%,F40*G40*H40*F!$B$77,IF(I40=78%,F40*G40*H40*F!$B$78,IF(I40=79%,F40*G40*H40*F!$B$79,IF(I40=80%,F40*G40*H40*F!$B$80,IF(I40=81%,F40*G40*H40*F!$B$81,IF(I40=82%,F40*G40*H40*F!$B$82,IF(I40=83%,F40*G40*H40*F!$B$83,IF(I40=84%,F40*G40*H40*F!$B$84,IF(I40=85%,F40*G40*H40*F!$B$85,IF(I40=86%,F40*G40*H40*F!$B$86,IF(I40=87%,F40*G40*H40*F!$B$87,IF(I40=88%,F40*G40*H40*F!$B$88,IF(I40=89%,F40*G40*H40*F!$B$89,IF(I40=90%,F40*G40*H40*F!$B$90,IF(I40=91%,F40*G40*H40*F!$B$91,IF(I40=92%,F40*G40*H40*F!$B$92,IF(I40=93%,F40*G40*H40*F!$B$93,IF(I40=94%,F40*G40*H40*F!$B$94,IF(I40=95%,F40*G40*H40*F!$B$95,IF(I40=96%,F40*G40*H40*F!$B$96,IF(I40=97%,F40*G40*H40*F!$B$97,IF(I40=98%,F40*G40*H40*F!$B$98,IF(I40=99%,F40*G40*H40*F!$B$99,IF(I40&gt;99%,F40*G40*H40*F!$B$100,))))))))))))))))))))))))))))))))))))))))))))))))))))))))+IF(M40&lt;30%,0,IF(M40&lt;35%,J40*K40*L40*F!$B$33,IF(M40&lt;40%,J40*K40*L40*F!$B$38,IF(M40&lt;45%,J40*K40*L40*F!$B$43,IF(M40&lt;50%,J40*K40*L40*F!$B$48,IF(M40=50%,J40*K40*L40*F!$B$50,IF(M40=51%,J40*K40*L40*F!$B$51,IF(M40=52%,J40*K40*L40*F!$B$52,IF(M40=53%,J40*K40*L40*F!$B$53,IF(M40=54%,J40*K40*L40*F!$B$54,IF(M40=55%,J40*K40*L40*F!$B$55,IF(M40=56%,J40*K40*L40*F!$B$56,IF(M40=57%,J40*K40*L40*F!$B$57,IF(M40=58%,J40*K40*L40*F!$B$58,IF(M40=59%,J40*K40*L40*F!$B$59,IF(M40=60%,J40*K40*L40*F!$B$60,IF(M40=61%,J40*K40*L40*F!$B$61,IF(M40=62%,J40*K40*L40*F!$B$62,IF(M40=63%,J40*K40*L40*F!$B$63,IF(M40=64%,J40*K40*L40*F!$B$64,IF(M40=65%,J40*K40*L40*F!$B$65,IF(M40=66%,J40*K40*L40*F!$B$66,IF(M40=67%,J40*K40*L40*F!$B$67,IF(M40=68%,J40*K40*L40*F!$B$68,IF(M40=69%,J40*K40*L40*F!$B$69,IF(M40=70%,J40*K40*L40*F!$B$70,IF(M40=71%,J40*K40*L40*F!$B$71,IF(M40=72%,J40*K40*L40*F!$B$72,IF(M40=73%,J40*K40*L40*F!$B$73,IF(M40=74%,J40*K40*L40*F!$B$74,IF(M40=75%,J40*K40*L40*F!$B$75,IF(M40=76%,J40*K40*L40*F!$B$76,IF(M40=77%,J40*K40*L40*F!$B$77,IF(M40=78%,J40*K40*L40*F!$B$78,IF(M40=79%,J40*K40*L40*F!$B$79,IF(M40=80%,J40*K40*L40*F!$B$80,IF(M40=81%,J40*K40*L40*F!$B$81,IF(M40=82%,J40*K40*L40*F!$B$82,IF(M40=83%,J40*K40*L40*F!$B$83,IF(M40=84%,J40*K40*L40*F!$B$84,IF(M40=85%,J40*K40*L40*F!$B$85,IF(M40=86%,J40*K40*L40*F!$B$86,IF(M40=87%,J40*K40*L40*F!$B$87,IF(M40=88%,J40*K40*L40*F!$B$88,IF(M40=89%,J40*K40*L40*F!$B$89,IF(M40=90%,J40*K40*L40*F!$B$90,IF(M40=91%,J40*K40*L40*F!$B$91,IF(M40=92%,J40*K40*L40*F!$B$92,IF(M40=93%,J40*K40*L40*F!$B$93,IF(M40=94%,J40*K40*L40*F!$B$94,IF(M40=95%,J40*K40*L40*F!$B$95,IF(M40=96%,J40*K40*L40*F!$B$96,IF(M40=97%,J40*K40*L40*F!$B$97,IF(M40=98%,J40*K40*L40*F!$B$98,IF(M40=99%,J40*K40*L40*F!$B$99,IF(M40&gt;99%,J40*K40*L40*F!$B$100,))))))))))))))))))))))))))))))))))))))))))))))))))))))))+IF(Q40&lt;30%,0,IF(Q40&lt;35%,N40*O40*P40*F!$B$33,IF(Q40&lt;40%,N40*O40*P40*F!$B$38,IF(Q40&lt;45%,N40*O40*P40*F!$B$43,IF(Q40&lt;50%,N40*O40*P40*F!$B$48,IF(Q40=50%,N40*O40*P40*F!$B$50,IF(Q40=51%,N40*O40*P40*F!$B$51,IF(Q40=52%,N40*O40*P40*F!$B$52,IF(Q40=53%,N40*O40*P40*F!$B$53,IF(Q40=54%,N40*O40*P40*F!$B$54,IF(Q40=55%,N40*O40*P40*F!$B$55,IF(Q40=56%,N40*O40*P40*F!$B$56,IF(Q40=57%,N40*O40*P40*F!$B$57,IF(Q40=58%,N40*O40*P40*F!$B$58,IF(Q40=59%,N40*O40*P40*F!$B$59,IF(Q40=60%,N40*O40*P40*F!$B$60,IF(Q40=61%,N40*O40*P40*F!$B$61,IF(Q40=62%,N40*O40*P40*F!$B$62,IF(Q40=63%,N40*O40*P40*F!$B$63,IF(Q40=64%,N40*O40*P40*F!$B$64,IF(Q40=65%,N40*O40*P40*F!$B$65,IF(Q40=66%,N40*O40*P40*F!$B$66,IF(Q40=67%,N40*O40*P40*F!$B$67,IF(Q40=68%,N40*O40*P40*F!$B$68,IF(Q40=69%,N40*O40*P40*F!$B$69,IF(Q40=70%,N40*O40*P40*F!$B$70,IF(Q40=71%,N40*O40*P40*F!$B$71,IF(Q40=72%,N40*O40*P40*F!$B$72,IF(Q40=73%,N40*O40*P40*F!$B$73,IF(Q40=74%,N40*O40*P40*F!$B$74,IF(Q40=75%,N40*O40*P40*F!$B$75,IF(Q40=76%,N40*O40*P40*F!$B$76,IF(Q40=77%,N40*O40*P40*F!$B$77,IF(Q40=78%,N40*O40*P40*F!$B$78,IF(Q40=79%,N40*O40*P40*F!$B$79,IF(Q40=80%,N40*O40*P40*F!$B$80,IF(Q40=81%,N40*O40*P40*F!$B$81,IF(Q40=82%,N40*O40*P40*F!$B$82,IF(Q40=83%,N40*O40*P40*F!$B$83,IF(Q40=84%,N40*O40*P40*F!$B$84,IF(Q40=85%,N40*O40*P40*F!$B$85,IF(Q40=86%,N40*O40*P40*F!$B$86,IF(Q40=87%,N40*O40*P40*F!$B$87,IF(Q40=88%,N40*O40*P40*F!$B$88,IF(Q40=89%,N40*O40*P40*F!$B$89,IF(Q40=90%,N40*O40*P40*F!$B$90,IF(Q40=91%,N40*O40*P40*F!$B$91,IF(Q40=92%,N40*O40*P40*F!$B$92,IF(Q40=93%,N40*O40*P40*F!$B$93,IF(Q40=94%,N40*O40*P40*F!$B$94,IF(Q40=95%,N40*O40*P40*F!$B$95,IF(Q40=96%,N40*O40*P40*F!$B$96,IF(Q40=97%,N40*O40*P40*F!$B$97,IF(Q40=98%,N40*O40*P40*F!$B$98,IF(Q40=99%,N40*O40*P40*F!$B$99,IF(Q40&gt;99%,N40*O40*P40*F!$B$100,))))))))))))))))))))))))))))))))))))))))))))))))))))))))+IF(U40&lt;30%,0,IF(U40&lt;35%,R40*S40*T40*F!$B$33,IF(U40&lt;40%,R40*S40*T40*F!$B$38,IF(U40&lt;45%,R40*S40*T40*F!$B$43,IF(U40&lt;50%,R40*S40*T40*F!$B$48,IF(U40=50%,R40*S40*T40*F!$B$50,IF(U40=51%,R40*S40*T40*F!$B$51,IF(U40=52%,R40*S40*T40*F!$B$52,IF(U40=53%,R40*S40*T40*F!$B$53,IF(U40=54%,R40*S40*T40*F!$B$54,IF(U40=55%,R40*S40*T40*F!$B$55,IF(U40=56%,R40*S40*T40*F!$B$56,IF(U40=57%,R40*S40*T40*F!$B$57,IF(U40=58%,R40*S40*T40*F!$B$58,IF(U40=59%,R40*S40*T40*F!$B$59,IF(U40=60%,R40*S40*T40*F!$B$60,IF(U40=61%,R40*S40*T40*F!$B$61,IF(U40=62%,R40*S40*T40*F!$B$62,IF(U40=63%,R40*S40*T40*F!$B$63,IF(U40=64%,R40*S40*T40*F!$B$64,IF(U40=65%,R40*S40*T40*F!$B$65,IF(U40=66%,R40*S40*T40*F!$B$66,IF(U40=67%,R40*S40*T40*F!$B$67,IF(U40=68%,R40*S40*T40*F!$B$68,IF(U40=69%,R40*S40*T40*F!$B$69,IF(U40=70%,R40*S40*T40*F!$B$70,IF(U40=71%,R40*S40*T40*F!$B$71,IF(U40=72%,R40*S40*T40*F!$B$72,IF(U40=73%,R40*S40*T40*F!$B$73,IF(U40=74%,R40*S40*T40*F!$B$74,IF(U40=75%,R40*S40*T40*F!$B$75,IF(U40=76%,R40*S40*T40*F!$B$76,IF(U40=77%,R40*S40*T40*F!$B$77,IF(U40=78%,R40*S40*T40*F!$B$78,IF(U40=79%,R40*S40*T40*F!$B$79,IF(U40=80%,R40*S40*T40*F!$B$80,IF(U40=81%,R40*S40*T40*F!$B$81,IF(U40=82%,R40*S40*T40*F!$B$82,IF(U40=83%,R40*S40*T40*F!$B$83,IF(U40=84%,R40*S40*T40*F!$B$84,IF(U40=85%,R40*S40*T40*F!$B$85,IF(U40=86%,R40*S40*T40*F!$B$86,IF(U40=87%,R40*S40*T40*F!$B$87,IF(U40=88%,R40*S40*T40*F!$B$88,IF(U40=89%,R40*S40*T40*F!$B$89,IF(U40=90%,R40*S40*T40*F!$B$90,IF(U40=91%,R40*S40*T40*F!$B$91,IF(U40=92%,R40*S40*T40*F!$B$92,IF(U40=93%,R40*S40*T40*F!$B$93,IF(U40=94%,R40*S40*T40*F!$B$94,IF(U40=95%,R40*S40*T40*F!$B$95,IF(U40=96%,R40*S40*T40*F!$B$96,IF(U40=97%,R40*S40*T40*F!$B$97,IF(U40=98%,R40*S40*T40*F!$B$98,IF(U40=99%,R40*S40*T40*F!$B$99,IF(U40&gt;99%,R40*S40*T40*F!$B$100)))))))))))))))))))))))))))))))))))))))))))))))))))))))))*IF(ISNUMBER(E40),E40,1)*IF(ISNUMBER(D40),D40,1)</f>
        <v>#REF!</v>
      </c>
      <c r="AA40" s="32">
        <f t="shared" ref="AA40:AA45" si="71">G40*H40+K40*L40+O40*P40+S40*T40</f>
        <v>34</v>
      </c>
      <c r="AB40" s="38">
        <f t="shared" ref="AB40:AB45" si="72">(H40*(IF(I40&lt;45%,0.5,IF(I40&lt;55%,0.8,IF(I40&lt;65%,0.9,IF(I40&lt;75%,1,IF(I40&lt;85%,1.1,1.2))))))+L40*(IF(M40&lt;45%,0.5,IF(M40&lt;55%,0.8,IF(M40&lt;65%,0.9,IF(M40&lt;75%,1,IF(M40&lt;85%,1.1,1.2))))))+P40*(IF(Q40&lt;45%,0.5,IF(Q40&lt;55%,0.8,IF(Q40&lt;65%,0.9,IF(Q40&lt;75%,1,IF(Q40&lt;85%,1.1,1.2))))))+T40*(IF(U40&lt;45%,0.5,IF(U40&lt;55%,0.8,IF(U40&lt;65%,0.9,IF(U40&lt;75%,1,IF(U40&lt;85%,1.1,1.2)))))))*IF(D40&gt;=0.8,6,IF(D40&lt;=0.4,1.5,3))</f>
        <v>21</v>
      </c>
      <c r="AC40" s="9"/>
      <c r="AD40" s="9"/>
      <c r="AE40" s="9"/>
      <c r="AF40" s="112"/>
      <c r="AG40" s="9"/>
      <c r="AH40" s="9"/>
      <c r="AI40" s="9"/>
      <c r="AJ40" s="164"/>
      <c r="AK40" s="165"/>
      <c r="AL40" s="166"/>
      <c r="AM40" s="167"/>
      <c r="AN40" s="168"/>
      <c r="AO40" s="168"/>
      <c r="AP40" s="168"/>
      <c r="AQ40" s="168"/>
      <c r="AR40" s="169"/>
      <c r="AS40" s="169"/>
      <c r="AT40" s="16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</row>
    <row r="41" ht="15.75" customHeight="1">
      <c r="A41" s="43">
        <f>A4+7</f>
        <v>42338</v>
      </c>
      <c r="B41" s="44" t="s">
        <v>18</v>
      </c>
      <c r="C41" s="149" t="str">
        <f t="shared" ref="C41:C42" si="73">IF(C4="","",C4)</f>
        <v>Болгарские выпады</v>
      </c>
      <c r="D41" s="46">
        <f t="shared" si="60"/>
        <v>0.3</v>
      </c>
      <c r="E41" s="47" t="str">
        <f t="shared" si="61"/>
        <v/>
      </c>
      <c r="F41" s="48">
        <f t="shared" si="62"/>
        <v>15</v>
      </c>
      <c r="G41" s="49">
        <v>12.0</v>
      </c>
      <c r="H41" s="49">
        <v>1.0</v>
      </c>
      <c r="I41" s="50">
        <v>0.5</v>
      </c>
      <c r="J41" s="48">
        <f t="shared" si="63"/>
        <v>18</v>
      </c>
      <c r="K41" s="49">
        <v>10.0</v>
      </c>
      <c r="L41" s="49">
        <v>3.0</v>
      </c>
      <c r="M41" s="50">
        <v>0.58</v>
      </c>
      <c r="N41" s="48" t="str">
        <f t="shared" si="64"/>
        <v/>
      </c>
      <c r="O41" s="49"/>
      <c r="P41" s="49"/>
      <c r="Q41" s="50">
        <v>0.0</v>
      </c>
      <c r="R41" s="48" t="str">
        <f t="shared" si="65"/>
        <v/>
      </c>
      <c r="S41" s="49"/>
      <c r="T41" s="49"/>
      <c r="U41" s="51">
        <v>0.0</v>
      </c>
      <c r="V41" s="52">
        <f t="shared" si="66"/>
        <v>720</v>
      </c>
      <c r="W41" s="53">
        <f t="shared" si="67"/>
        <v>17.14285714</v>
      </c>
      <c r="X41" s="54">
        <f t="shared" si="68"/>
        <v>0.57</v>
      </c>
      <c r="Y41" s="137">
        <f t="shared" si="69"/>
        <v>30.3</v>
      </c>
      <c r="Z41" s="53" t="str">
        <f t="shared" si="70"/>
        <v>#REF!</v>
      </c>
      <c r="AA41" s="49">
        <f t="shared" si="71"/>
        <v>42</v>
      </c>
      <c r="AB41" s="56">
        <f t="shared" si="72"/>
        <v>5.25</v>
      </c>
      <c r="AC41" s="9"/>
      <c r="AD41" s="9"/>
      <c r="AE41" s="9"/>
      <c r="AF41" s="112"/>
      <c r="AG41" s="9"/>
      <c r="AH41" s="9"/>
      <c r="AI41" s="9"/>
      <c r="AJ41" s="9"/>
      <c r="AK41" s="170"/>
      <c r="AL41" s="170"/>
      <c r="AM41" s="170"/>
      <c r="AN41" s="170"/>
      <c r="AO41" s="171"/>
      <c r="AP41" s="172"/>
      <c r="AQ41" s="172"/>
      <c r="AR41" s="9"/>
      <c r="AS41" s="41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</row>
    <row r="42" ht="15.75" customHeight="1">
      <c r="A42" s="57"/>
      <c r="B42" s="44" t="s">
        <v>20</v>
      </c>
      <c r="C42" s="149" t="str">
        <f t="shared" si="73"/>
        <v>Разведение ног в тренажёре</v>
      </c>
      <c r="D42" s="46">
        <f t="shared" si="60"/>
        <v>0.3</v>
      </c>
      <c r="E42" s="47">
        <f t="shared" si="61"/>
        <v>5</v>
      </c>
      <c r="F42" s="59">
        <f t="shared" si="62"/>
        <v>3.8</v>
      </c>
      <c r="G42" s="60">
        <v>10.0</v>
      </c>
      <c r="H42" s="60">
        <v>5.0</v>
      </c>
      <c r="I42" s="61">
        <v>0.38</v>
      </c>
      <c r="J42" s="59" t="str">
        <f t="shared" si="63"/>
        <v/>
      </c>
      <c r="K42" s="60"/>
      <c r="L42" s="60"/>
      <c r="M42" s="61">
        <v>0.0</v>
      </c>
      <c r="N42" s="59" t="str">
        <f t="shared" si="64"/>
        <v/>
      </c>
      <c r="O42" s="60"/>
      <c r="P42" s="60"/>
      <c r="Q42" s="61">
        <v>0.0</v>
      </c>
      <c r="R42" s="59" t="str">
        <f t="shared" si="65"/>
        <v/>
      </c>
      <c r="S42" s="60"/>
      <c r="T42" s="60"/>
      <c r="U42" s="62">
        <v>0.0</v>
      </c>
      <c r="V42" s="63">
        <f t="shared" si="66"/>
        <v>950</v>
      </c>
      <c r="W42" s="64">
        <f t="shared" si="67"/>
        <v>19</v>
      </c>
      <c r="X42" s="65">
        <f t="shared" si="68"/>
        <v>0.38</v>
      </c>
      <c r="Y42" s="137">
        <f t="shared" si="69"/>
        <v>10.1</v>
      </c>
      <c r="Z42" s="64" t="str">
        <f t="shared" si="70"/>
        <v>#REF!</v>
      </c>
      <c r="AA42" s="60">
        <f t="shared" si="71"/>
        <v>50</v>
      </c>
      <c r="AB42" s="66">
        <f t="shared" si="72"/>
        <v>3.75</v>
      </c>
      <c r="AC42" s="9"/>
      <c r="AD42" s="9"/>
      <c r="AE42" s="9"/>
      <c r="AF42" s="112"/>
      <c r="AG42" s="9"/>
      <c r="AH42" s="9"/>
      <c r="AI42" s="9"/>
      <c r="AJ42" s="9"/>
      <c r="AK42" s="39"/>
      <c r="AL42" s="39"/>
      <c r="AM42" s="39"/>
      <c r="AN42" s="113"/>
      <c r="AO42" s="113"/>
      <c r="AP42" s="113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</row>
    <row r="43" ht="15.75" customHeight="1">
      <c r="A43" s="57"/>
      <c r="B43" s="44" t="str">
        <f t="shared" ref="B43:C43" si="74">IF(B6="","",B6)</f>
        <v>Тяжелая</v>
      </c>
      <c r="C43" s="149" t="str">
        <f t="shared" si="74"/>
        <v>Присед</v>
      </c>
      <c r="D43" s="46">
        <f t="shared" si="60"/>
        <v>1.2</v>
      </c>
      <c r="E43" s="47" t="str">
        <f t="shared" si="61"/>
        <v/>
      </c>
      <c r="F43" s="48">
        <f t="shared" si="62"/>
        <v>25</v>
      </c>
      <c r="G43" s="49">
        <v>10.0</v>
      </c>
      <c r="H43" s="49">
        <v>1.0</v>
      </c>
      <c r="I43" s="50">
        <v>0.5</v>
      </c>
      <c r="J43" s="67">
        <f t="shared" si="63"/>
        <v>32.5</v>
      </c>
      <c r="K43" s="49">
        <v>10.0</v>
      </c>
      <c r="L43" s="49">
        <v>1.0</v>
      </c>
      <c r="M43" s="50">
        <v>0.63</v>
      </c>
      <c r="N43" s="48">
        <f t="shared" si="64"/>
        <v>37.5</v>
      </c>
      <c r="O43" s="49">
        <v>8.0</v>
      </c>
      <c r="P43" s="49">
        <v>1.0</v>
      </c>
      <c r="Q43" s="50">
        <v>0.73</v>
      </c>
      <c r="R43" s="48" t="str">
        <f t="shared" si="65"/>
        <v/>
      </c>
      <c r="S43" s="49"/>
      <c r="T43" s="49"/>
      <c r="U43" s="51">
        <v>0.0</v>
      </c>
      <c r="V43" s="52">
        <f t="shared" si="66"/>
        <v>875</v>
      </c>
      <c r="W43" s="53">
        <f t="shared" si="67"/>
        <v>31.25</v>
      </c>
      <c r="X43" s="54">
        <f t="shared" si="68"/>
        <v>0.62</v>
      </c>
      <c r="Y43" s="137">
        <f t="shared" si="69"/>
        <v>50.5</v>
      </c>
      <c r="Z43" s="53" t="str">
        <f t="shared" si="70"/>
        <v>#REF!</v>
      </c>
      <c r="AA43" s="49">
        <f t="shared" si="71"/>
        <v>28</v>
      </c>
      <c r="AB43" s="56">
        <f t="shared" si="72"/>
        <v>16.2</v>
      </c>
      <c r="AC43" s="9"/>
      <c r="AD43" s="9"/>
      <c r="AE43" s="9"/>
      <c r="AF43" s="112"/>
      <c r="AG43" s="9"/>
      <c r="AH43" s="173"/>
      <c r="AI43" s="9"/>
      <c r="AJ43" s="9"/>
      <c r="AK43" s="39"/>
      <c r="AL43" s="39"/>
      <c r="AM43" s="39"/>
      <c r="AN43" s="113"/>
      <c r="AO43" s="113"/>
      <c r="AP43" s="113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</row>
    <row r="44" ht="15.75" customHeight="1">
      <c r="A44" s="57"/>
      <c r="B44" s="44" t="str">
        <f t="shared" ref="B44:C44" si="75">IF(B7="","",B7)</f>
        <v>Легкая</v>
      </c>
      <c r="C44" s="149" t="str">
        <f t="shared" si="75"/>
        <v>Жим гантелей вверх</v>
      </c>
      <c r="D44" s="46">
        <f t="shared" si="60"/>
        <v>1.2</v>
      </c>
      <c r="E44" s="47">
        <f t="shared" si="61"/>
        <v>2</v>
      </c>
      <c r="F44" s="59">
        <f t="shared" si="62"/>
        <v>2.7</v>
      </c>
      <c r="G44" s="60">
        <v>10.0</v>
      </c>
      <c r="H44" s="60">
        <v>5.0</v>
      </c>
      <c r="I44" s="61">
        <v>0.38</v>
      </c>
      <c r="J44" s="59" t="str">
        <f t="shared" si="63"/>
        <v/>
      </c>
      <c r="K44" s="60"/>
      <c r="L44" s="60"/>
      <c r="M44" s="61">
        <v>0.0</v>
      </c>
      <c r="N44" s="59" t="str">
        <f t="shared" si="64"/>
        <v/>
      </c>
      <c r="O44" s="60"/>
      <c r="P44" s="60"/>
      <c r="Q44" s="61">
        <v>0.0</v>
      </c>
      <c r="R44" s="59" t="str">
        <f t="shared" si="65"/>
        <v/>
      </c>
      <c r="S44" s="60"/>
      <c r="T44" s="60"/>
      <c r="U44" s="62">
        <v>0.0</v>
      </c>
      <c r="V44" s="63">
        <f t="shared" si="66"/>
        <v>270</v>
      </c>
      <c r="W44" s="64">
        <f t="shared" si="67"/>
        <v>5.4</v>
      </c>
      <c r="X44" s="62">
        <f t="shared" si="68"/>
        <v>0.38</v>
      </c>
      <c r="Y44" s="137">
        <f t="shared" si="69"/>
        <v>7.07</v>
      </c>
      <c r="Z44" s="64" t="str">
        <f t="shared" si="70"/>
        <v>#REF!</v>
      </c>
      <c r="AA44" s="60">
        <f t="shared" si="71"/>
        <v>50</v>
      </c>
      <c r="AB44" s="66">
        <f t="shared" si="72"/>
        <v>15</v>
      </c>
      <c r="AC44" s="9"/>
      <c r="AD44" s="9"/>
      <c r="AE44" s="9"/>
      <c r="AF44" s="112"/>
      <c r="AG44" s="9"/>
      <c r="AH44" s="39"/>
      <c r="AI44" s="9"/>
      <c r="AJ44" s="9"/>
      <c r="AK44" s="39"/>
      <c r="AL44" s="39"/>
      <c r="AM44" s="39"/>
      <c r="AN44" s="113"/>
      <c r="AO44" s="113"/>
      <c r="AP44" s="113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</row>
    <row r="45" ht="15.75" customHeight="1">
      <c r="A45" s="57"/>
      <c r="B45" s="44" t="str">
        <f t="shared" ref="B45:C45" si="76">IF(B8="","",B8)</f>
        <v>Средняя</v>
      </c>
      <c r="C45" s="149" t="str">
        <f t="shared" si="76"/>
        <v>Разведение гантелей в стороны</v>
      </c>
      <c r="D45" s="46">
        <f t="shared" si="60"/>
        <v>0.4</v>
      </c>
      <c r="E45" s="47">
        <f t="shared" si="61"/>
        <v>2</v>
      </c>
      <c r="F45" s="48">
        <f t="shared" si="62"/>
        <v>3</v>
      </c>
      <c r="G45" s="49">
        <v>10.0</v>
      </c>
      <c r="H45" s="49">
        <v>1.0</v>
      </c>
      <c r="I45" s="50">
        <v>0.5</v>
      </c>
      <c r="J45" s="48">
        <f t="shared" si="63"/>
        <v>3.6</v>
      </c>
      <c r="K45" s="49">
        <v>12.0</v>
      </c>
      <c r="L45" s="49">
        <v>4.0</v>
      </c>
      <c r="M45" s="50">
        <v>0.6</v>
      </c>
      <c r="N45" s="48" t="str">
        <f t="shared" si="64"/>
        <v/>
      </c>
      <c r="O45" s="49"/>
      <c r="P45" s="49"/>
      <c r="Q45" s="50">
        <v>0.0</v>
      </c>
      <c r="R45" s="48" t="str">
        <f t="shared" si="65"/>
        <v/>
      </c>
      <c r="S45" s="49"/>
      <c r="T45" s="49"/>
      <c r="U45" s="51">
        <v>0.0</v>
      </c>
      <c r="V45" s="52">
        <f t="shared" si="66"/>
        <v>405.6</v>
      </c>
      <c r="W45" s="53">
        <f t="shared" si="67"/>
        <v>6.993103448</v>
      </c>
      <c r="X45" s="54">
        <f t="shared" si="68"/>
        <v>0.58</v>
      </c>
      <c r="Y45" s="137">
        <f t="shared" si="69"/>
        <v>6.06</v>
      </c>
      <c r="Z45" s="53" t="str">
        <f t="shared" si="70"/>
        <v>#REF!</v>
      </c>
      <c r="AA45" s="49">
        <f t="shared" si="71"/>
        <v>58</v>
      </c>
      <c r="AB45" s="56">
        <f t="shared" si="72"/>
        <v>6.6</v>
      </c>
      <c r="AC45" s="9"/>
      <c r="AD45" s="9"/>
      <c r="AE45" s="9"/>
      <c r="AF45" s="112"/>
      <c r="AG45" s="9"/>
      <c r="AH45" s="9"/>
      <c r="AI45" s="9"/>
      <c r="AJ45" s="9"/>
      <c r="AK45" s="39"/>
      <c r="AL45" s="39"/>
      <c r="AM45" s="39"/>
      <c r="AN45" s="113"/>
      <c r="AO45" s="113"/>
      <c r="AP45" s="113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</row>
    <row r="46" ht="15.75" customHeight="1">
      <c r="A46" s="72"/>
      <c r="B46" s="73" t="str">
        <f t="shared" ref="B46:C46" si="77">IF(B9="","",B9)</f>
        <v/>
      </c>
      <c r="C46" s="174" t="str">
        <f t="shared" si="77"/>
        <v>Разгибание рук на блоке</v>
      </c>
      <c r="D46" s="75">
        <f>ROUND(IFERROR((D40*(G40*H40+K40*L40+O40*P40+S40*T40)+D41*(G41*H41+K41*L41+O41*P41+S41*T41)+D42*(G42*H42+K42*L42+O42*P42+S42*T42)+D43*(G43*H43+K43*L43+O43*P43+S43*T43)+D44*(G44*H44+K44*L44+O44*P44+S44*T44)+D45*(G45*H45+K45*L45+O45*P45+S45*T45))/((G40*H40+K40*L40+O40*P40+S40*T40)+(G41*H41+K41*L41+O41*P41+S41*T41)+(G42*H42+K42*L42+O42*P42+S42*T42)+(G43*H43+K43*L43+O43*P43+S43*T43)+(G44*H44+K44*L44+O44*P44+S44*T44)+(G45*H45+K45*L45+O45*P45+S45*T45)),0),2)</f>
        <v>0.68</v>
      </c>
      <c r="E46" s="76" t="str">
        <f t="shared" si="61"/>
        <v/>
      </c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80"/>
      <c r="V46" s="81">
        <f>SUM(V40:V45)</f>
        <v>5035.6</v>
      </c>
      <c r="W46" s="82">
        <f>IFERROR(V46/AA46,0)</f>
        <v>19.21984733</v>
      </c>
      <c r="X46" s="83">
        <f>ROUND(IFERROR(((I40*G40*H40+M40*K40*L40+Q40*O40*P40+U40*S40*T40)+(I41*G41*H41+M41*K41*L41+Q41*O41*P41+U41*S41*T41)+(I42*G42*H42+M42*K42*L42+Q42*O42*P42+U42*S42*T42)+(I43*G43*H43+M43*K43*L43+Q43*O43*P43+U43*S43*T43)+(I44*G44*H44+M44*K44*L44+Q44*O44*P44+U44*S44*T44)+(I45*G45*H45+M45*K45*L45+Q45*O45*P45+U45*S45*T45))/((G40*H40+K40*L40+O40*P40+S40*T40)+(G41*H41+K41*L41+O41*P41+S41*T41)+(G42*H42+K42*L42+O42*P42+S42*T42)+(G43*H43+K43*L43+O43*P43+S43*T43)+(G44*H44+K44*L44+O44*P44+S44*T44)+(G45*H45+K45*L45+O45*P45+S45*T45)),0),3)</f>
        <v>0.504</v>
      </c>
      <c r="Y46" s="84"/>
      <c r="Z46" s="82" t="str">
        <f t="shared" ref="Z46:AA46" si="78">SUM(Z40:Z45)</f>
        <v>#REF!</v>
      </c>
      <c r="AA46" s="85">
        <f t="shared" si="78"/>
        <v>262</v>
      </c>
      <c r="AB46" s="86">
        <f>IF(SUM(AB40:AB45)=0,TIME(,0,),TIME(,SUM(AB40:AB45)+30,))</f>
        <v>0.06736111111</v>
      </c>
      <c r="AC46" s="9"/>
      <c r="AD46" s="9"/>
      <c r="AE46" s="9"/>
      <c r="AF46" s="112"/>
      <c r="AG46" s="9"/>
      <c r="AH46" s="9"/>
      <c r="AI46" s="9"/>
      <c r="AJ46" s="9"/>
      <c r="AK46" s="40"/>
      <c r="AL46" s="39"/>
      <c r="AM46" s="39"/>
      <c r="AN46" s="113"/>
      <c r="AO46" s="113"/>
      <c r="AP46" s="113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</row>
    <row r="47" ht="15.75" customHeight="1">
      <c r="A47" s="88" t="s">
        <v>28</v>
      </c>
      <c r="B47" s="89" t="str">
        <f t="shared" ref="B47:C47" si="79">IF(B10="","",B10)</f>
        <v>Средняя</v>
      </c>
      <c r="C47" s="141" t="str">
        <f t="shared" si="79"/>
        <v>Румынская тяга</v>
      </c>
      <c r="D47" s="29">
        <f t="shared" ref="D47:D52" si="81">D10</f>
        <v>1</v>
      </c>
      <c r="E47" s="91" t="str">
        <f t="shared" si="61"/>
        <v/>
      </c>
      <c r="F47" s="92">
        <f t="shared" ref="F47:F52" si="82">IF(I47&lt;&gt;0,(IFERROR(IF($Y47&gt;50,MROUND($Y47*I47,2.5),IF($Y47&lt;15,MROUND($Y47*I47,0.1),MROUND($Y47*I47,1))),)),"")</f>
        <v>27.5</v>
      </c>
      <c r="G47" s="93">
        <v>10.0</v>
      </c>
      <c r="H47" s="93">
        <v>1.0</v>
      </c>
      <c r="I47" s="94">
        <v>0.5</v>
      </c>
      <c r="J47" s="92">
        <f t="shared" ref="J47:J52" si="83">IF(M47&lt;&gt;0,(IFERROR(IF($Y47&gt;50,MROUND($Y47*M47,2.5),IF($Y47&lt;15,MROUND($Y47*M47,0.1),MROUND($Y47*M47,1))),)),"")</f>
        <v>35</v>
      </c>
      <c r="K47" s="93">
        <v>8.0</v>
      </c>
      <c r="L47" s="93">
        <v>4.0</v>
      </c>
      <c r="M47" s="94">
        <v>0.65</v>
      </c>
      <c r="N47" s="92" t="str">
        <f t="shared" ref="N47:N52" si="84">IF(Q47&lt;&gt;0,(IFERROR(IF($Y47&gt;50,MROUND($Y47*Q47,2.5),IF($Y47&lt;15,MROUND($Y47*Q47,0.1),MROUND($Y47*Q47,1))),)),"")</f>
        <v/>
      </c>
      <c r="O47" s="93"/>
      <c r="P47" s="93"/>
      <c r="Q47" s="94">
        <v>0.0</v>
      </c>
      <c r="R47" s="92" t="str">
        <f t="shared" ref="R47:R52" si="85">IF(U47&lt;&gt;0,(IFERROR(IF($Y47&gt;50,MROUND($Y47*U47,2.5),IF($Y47&lt;15,MROUND($Y47*U47,0.1),MROUND($Y47*U47,1))),)),"")</f>
        <v/>
      </c>
      <c r="S47" s="93"/>
      <c r="T47" s="93"/>
      <c r="U47" s="94">
        <v>0.0</v>
      </c>
      <c r="V47" s="95">
        <f t="shared" ref="V47:V52" si="86">(IF(ISNUMBER(F47),F47,1)*G47*H47+IF(ISNUMBER(J47),J47,1)*K47*L47+IF(ISNUMBER(N47),N47,1)*O47*P47+IF(ISNUMBER(R47),R47,1)*S47*T47)*IF(ISNUMBER(E47),E47,1)</f>
        <v>1395</v>
      </c>
      <c r="W47" s="96">
        <f t="shared" ref="W47:W52" si="87">IFERROR((IF(ISNUMBER(F47),F47,1)*G47*H47+IF(ISNUMBER(J47),J47,1)*K47*L47+IF(ISNUMBER(N47),N47,1)*O47*P47+IF(ISNUMBER(R47),R47,1)*S47*T47)*IF(ISNUMBER(E47),E47,1)/(G47*H47+K47*L47+O47*P47+S47*T47),0)</f>
        <v>33.21428571</v>
      </c>
      <c r="X47" s="97">
        <f t="shared" ref="X47:X52" si="88">ROUND(IFERROR((W47/(Y47*IF(ISNUMBER(E47),E47,1))),0),2)</f>
        <v>0.6</v>
      </c>
      <c r="Y47" s="37">
        <f t="shared" ref="Y47:Y52" si="89">IF(ISNUMBER(Y10), Y10+(Y10*$Y$38),"")</f>
        <v>55.55</v>
      </c>
      <c r="Z47" s="96" t="str">
        <f t="shared" ref="Z47:Z52" si="90">(IF(I47&lt;30%,0,IF(I47&lt;35%,F47*G47*H47*F!$B$33,IF(I47&lt;40%,F47*G47*H47*F!$B$38,IF(I47&lt;45%,F47*G47*H47*F!$B$43,IF(I47&lt;50%,F47*G47*H47*F!$B$48,IF(I47=50%,F47*G47*H47*F!$B$50,IF(I47=51%,F47*G47*H47*F!$B$51,IF(I47=52%,F47*G47*H47*F!$B$52,IF(I47=53%,F47*G47*H47*F!$B$53,IF(I47=54%,F47*G47*H47*F!$B$54,IF(I47=55%,F47*G47*H47*F!$B$55,IF(I47=56%,F47*G47*H47*F!$B$56,IF(I47=57%,F47*G47*H47*F!$B$57,IF(I47=58%,F47*G47*H47*F!$B$58,IF(I47=59%,F47*G47*H47*F!$B$59,IF(I47=60%,F47*G47*H47*F!$B$60,IF(I47=61%,F47*G47*H47*F!$B$61,IF(I47=62%,F47*G47*H47*F!$B$62,IF(I47=63%,F47*G47*H47*F!$B$63,IF(I47=64%,F47*G47*H47*F!$B$64,IF(I47=65%,F47*G47*H47*F!$B$65,IF(I47=66%,F47*G47*H47*F!$B$66,IF(I47=67%,F47*G47*H47*F!$B$67,IF(I47=68%,F47*G47*H47*F!$B$68,IF(I47=69%,F47*G47*H47*F!$B$69,IF(I47=70%,F47*G47*H47*F!$B$70,IF(I47=71%,F47*G47*H47*F!$B$71,IF(I47=72%,F47*G47*H47*F!$B$72,IF(I47=73%,F47*G47*H47*F!$B$73,IF(I47=74%,F47*G47*H47*F!$B$74,IF(I47=75%,F47*G47*H47*F!$B$75,IF(I47=76%,F47*G47*H47*F!$B$76,IF(I47=77%,F47*G47*H47*F!$B$77,IF(I47=78%,F47*G47*H47*F!$B$78,IF(I47=79%,F47*G47*H47*F!$B$79,IF(I47=80%,F47*G47*H47*F!$B$80,IF(I47=81%,F47*G47*H47*F!$B$81,IF(I47=82%,F47*G47*H47*F!$B$82,IF(I47=83%,F47*G47*H47*F!$B$83,IF(I47=84%,F47*G47*H47*F!$B$84,IF(I47=85%,F47*G47*H47*F!$B$85,IF(I47=86%,F47*G47*H47*F!$B$86,IF(I47=87%,F47*G47*H47*F!$B$87,IF(I47=88%,F47*G47*H47*F!$B$88,IF(I47=89%,F47*G47*H47*F!$B$89,IF(I47=90%,F47*G47*H47*F!$B$90,IF(I47=91%,F47*G47*H47*F!$B$91,IF(I47=92%,F47*G47*H47*F!$B$92,IF(I47=93%,F47*G47*H47*F!$B$93,IF(I47=94%,F47*G47*H47*F!$B$94,IF(I47=95%,F47*G47*H47*F!$B$95,IF(I47=96%,F47*G47*H47*F!$B$96,IF(I47=97%,F47*G47*H47*F!$B$97,IF(I47=98%,F47*G47*H47*F!$B$98,IF(I47=99%,F47*G47*H47*F!$B$99,IF(I47&gt;99%,F47*G47*H47*F!$B$100,))))))))))))))))))))))))))))))))))))))))))))))))))))))))+IF(M47&lt;30%,0,IF(M47&lt;35%,J47*K47*L47*F!$B$33,IF(M47&lt;40%,J47*K47*L47*F!$B$38,IF(M47&lt;45%,J47*K47*L47*F!$B$43,IF(M47&lt;50%,J47*K47*L47*F!$B$48,IF(M47=50%,J47*K47*L47*F!$B$50,IF(M47=51%,J47*K47*L47*F!$B$51,IF(M47=52%,J47*K47*L47*F!$B$52,IF(M47=53%,J47*K47*L47*F!$B$53,IF(M47=54%,J47*K47*L47*F!$B$54,IF(M47=55%,J47*K47*L47*F!$B$55,IF(M47=56%,J47*K47*L47*F!$B$56,IF(M47=57%,J47*K47*L47*F!$B$57,IF(M47=58%,J47*K47*L47*F!$B$58,IF(M47=59%,J47*K47*L47*F!$B$59,IF(M47=60%,J47*K47*L47*F!$B$60,IF(M47=61%,J47*K47*L47*F!$B$61,IF(M47=62%,J47*K47*L47*F!$B$62,IF(M47=63%,J47*K47*L47*F!$B$63,IF(M47=64%,J47*K47*L47*F!$B$64,IF(M47=65%,J47*K47*L47*F!$B$65,IF(M47=66%,J47*K47*L47*F!$B$66,IF(M47=67%,J47*K47*L47*F!$B$67,IF(M47=68%,J47*K47*L47*F!$B$68,IF(M47=69%,J47*K47*L47*F!$B$69,IF(M47=70%,J47*K47*L47*F!$B$70,IF(M47=71%,J47*K47*L47*F!$B$71,IF(M47=72%,J47*K47*L47*F!$B$72,IF(M47=73%,J47*K47*L47*F!$B$73,IF(M47=74%,J47*K47*L47*F!$B$74,IF(M47=75%,J47*K47*L47*F!$B$75,IF(M47=76%,J47*K47*L47*F!$B$76,IF(M47=77%,J47*K47*L47*F!$B$77,IF(M47=78%,J47*K47*L47*F!$B$78,IF(M47=79%,J47*K47*L47*F!$B$79,IF(M47=80%,J47*K47*L47*F!$B$80,IF(M47=81%,J47*K47*L47*F!$B$81,IF(M47=82%,J47*K47*L47*F!$B$82,IF(M47=83%,J47*K47*L47*F!$B$83,IF(M47=84%,J47*K47*L47*F!$B$84,IF(M47=85%,J47*K47*L47*F!$B$85,IF(M47=86%,J47*K47*L47*F!$B$86,IF(M47=87%,J47*K47*L47*F!$B$87,IF(M47=88%,J47*K47*L47*F!$B$88,IF(M47=89%,J47*K47*L47*F!$B$89,IF(M47=90%,J47*K47*L47*F!$B$90,IF(M47=91%,J47*K47*L47*F!$B$91,IF(M47=92%,J47*K47*L47*F!$B$92,IF(M47=93%,J47*K47*L47*F!$B$93,IF(M47=94%,J47*K47*L47*F!$B$94,IF(M47=95%,J47*K47*L47*F!$B$95,IF(M47=96%,J47*K47*L47*F!$B$96,IF(M47=97%,J47*K47*L47*F!$B$97,IF(M47=98%,J47*K47*L47*F!$B$98,IF(M47=99%,J47*K47*L47*F!$B$99,IF(M47&gt;99%,J47*K47*L47*F!$B$100,))))))))))))))))))))))))))))))))))))))))))))))))))))))))+IF(Q47&lt;30%,0,IF(Q47&lt;35%,N47*O47*P47*F!$B$33,IF(Q47&lt;40%,N47*O47*P47*F!$B$38,IF(Q47&lt;45%,N47*O47*P47*F!$B$43,IF(Q47&lt;50%,N47*O47*P47*F!$B$48,IF(Q47=50%,N47*O47*P47*F!$B$50,IF(Q47=51%,N47*O47*P47*F!$B$51,IF(Q47=52%,N47*O47*P47*F!$B$52,IF(Q47=53%,N47*O47*P47*F!$B$53,IF(Q47=54%,N47*O47*P47*F!$B$54,IF(Q47=55%,N47*O47*P47*F!$B$55,IF(Q47=56%,N47*O47*P47*F!$B$56,IF(Q47=57%,N47*O47*P47*F!$B$57,IF(Q47=58%,N47*O47*P47*F!$B$58,IF(Q47=59%,N47*O47*P47*F!$B$59,IF(Q47=60%,N47*O47*P47*F!$B$60,IF(Q47=61%,N47*O47*P47*F!$B$61,IF(Q47=62%,N47*O47*P47*F!$B$62,IF(Q47=63%,N47*O47*P47*F!$B$63,IF(Q47=64%,N47*O47*P47*F!$B$64,IF(Q47=65%,N47*O47*P47*F!$B$65,IF(Q47=66%,N47*O47*P47*F!$B$66,IF(Q47=67%,N47*O47*P47*F!$B$67,IF(Q47=68%,N47*O47*P47*F!$B$68,IF(Q47=69%,N47*O47*P47*F!$B$69,IF(Q47=70%,N47*O47*P47*F!$B$70,IF(Q47=71%,N47*O47*P47*F!$B$71,IF(Q47=72%,N47*O47*P47*F!$B$72,IF(Q47=73%,N47*O47*P47*F!$B$73,IF(Q47=74%,N47*O47*P47*F!$B$74,IF(Q47=75%,N47*O47*P47*F!$B$75,IF(Q47=76%,N47*O47*P47*F!$B$76,IF(Q47=77%,N47*O47*P47*F!$B$77,IF(Q47=78%,N47*O47*P47*F!$B$78,IF(Q47=79%,N47*O47*P47*F!$B$79,IF(Q47=80%,N47*O47*P47*F!$B$80,IF(Q47=81%,N47*O47*P47*F!$B$81,IF(Q47=82%,N47*O47*P47*F!$B$82,IF(Q47=83%,N47*O47*P47*F!$B$83,IF(Q47=84%,N47*O47*P47*F!$B$84,IF(Q47=85%,N47*O47*P47*F!$B$85,IF(Q47=86%,N47*O47*P47*F!$B$86,IF(Q47=87%,N47*O47*P47*F!$B$87,IF(Q47=88%,N47*O47*P47*F!$B$88,IF(Q47=89%,N47*O47*P47*F!$B$89,IF(Q47=90%,N47*O47*P47*F!$B$90,IF(Q47=91%,N47*O47*P47*F!$B$91,IF(Q47=92%,N47*O47*P47*F!$B$92,IF(Q47=93%,N47*O47*P47*F!$B$93,IF(Q47=94%,N47*O47*P47*F!$B$94,IF(Q47=95%,N47*O47*P47*F!$B$95,IF(Q47=96%,N47*O47*P47*F!$B$96,IF(Q47=97%,N47*O47*P47*F!$B$97,IF(Q47=98%,N47*O47*P47*F!$B$98,IF(Q47=99%,N47*O47*P47*F!$B$99,IF(Q47&gt;99%,N47*O47*P47*F!$B$100,))))))))))))))))))))))))))))))))))))))))))))))))))))))))+IF(U47&lt;30%,0,IF(U47&lt;35%,R47*S47*T47*F!$B$33,IF(U47&lt;40%,R47*S47*T47*F!$B$38,IF(U47&lt;45%,R47*S47*T47*F!$B$43,IF(U47&lt;50%,R47*S47*T47*F!$B$48,IF(U47=50%,R47*S47*T47*F!$B$50,IF(U47=51%,R47*S47*T47*F!$B$51,IF(U47=52%,R47*S47*T47*F!$B$52,IF(U47=53%,R47*S47*T47*F!$B$53,IF(U47=54%,R47*S47*T47*F!$B$54,IF(U47=55%,R47*S47*T47*F!$B$55,IF(U47=56%,R47*S47*T47*F!$B$56,IF(U47=57%,R47*S47*T47*F!$B$57,IF(U47=58%,R47*S47*T47*F!$B$58,IF(U47=59%,R47*S47*T47*F!$B$59,IF(U47=60%,R47*S47*T47*F!$B$60,IF(U47=61%,R47*S47*T47*F!$B$61,IF(U47=62%,R47*S47*T47*F!$B$62,IF(U47=63%,R47*S47*T47*F!$B$63,IF(U47=64%,R47*S47*T47*F!$B$64,IF(U47=65%,R47*S47*T47*F!$B$65,IF(U47=66%,R47*S47*T47*F!$B$66,IF(U47=67%,R47*S47*T47*F!$B$67,IF(U47=68%,R47*S47*T47*F!$B$68,IF(U47=69%,R47*S47*T47*F!$B$69,IF(U47=70%,R47*S47*T47*F!$B$70,IF(U47=71%,R47*S47*T47*F!$B$71,IF(U47=72%,R47*S47*T47*F!$B$72,IF(U47=73%,R47*S47*T47*F!$B$73,IF(U47=74%,R47*S47*T47*F!$B$74,IF(U47=75%,R47*S47*T47*F!$B$75,IF(U47=76%,R47*S47*T47*F!$B$76,IF(U47=77%,R47*S47*T47*F!$B$77,IF(U47=78%,R47*S47*T47*F!$B$78,IF(U47=79%,R47*S47*T47*F!$B$79,IF(U47=80%,R47*S47*T47*F!$B$80,IF(U47=81%,R47*S47*T47*F!$B$81,IF(U47=82%,R47*S47*T47*F!$B$82,IF(U47=83%,R47*S47*T47*F!$B$83,IF(U47=84%,R47*S47*T47*F!$B$84,IF(U47=85%,R47*S47*T47*F!$B$85,IF(U47=86%,R47*S47*T47*F!$B$86,IF(U47=87%,R47*S47*T47*F!$B$87,IF(U47=88%,R47*S47*T47*F!$B$88,IF(U47=89%,R47*S47*T47*F!$B$89,IF(U47=90%,R47*S47*T47*F!$B$90,IF(U47=91%,R47*S47*T47*F!$B$91,IF(U47=92%,R47*S47*T47*F!$B$92,IF(U47=93%,R47*S47*T47*F!$B$93,IF(U47=94%,R47*S47*T47*F!$B$94,IF(U47=95%,R47*S47*T47*F!$B$95,IF(U47=96%,R47*S47*T47*F!$B$96,IF(U47=97%,R47*S47*T47*F!$B$97,IF(U47=98%,R47*S47*T47*F!$B$98,IF(U47=99%,R47*S47*T47*F!$B$99,IF(U47&gt;99%,R47*S47*T47*F!$B$100)))))))))))))))))))))))))))))))))))))))))))))))))))))))))*IF(ISNUMBER(E47),E47,1)*IF(ISNUMBER(D47),D47,1)</f>
        <v>#REF!</v>
      </c>
      <c r="AA47" s="93">
        <f t="shared" ref="AA47:AA52" si="91">G47*H47+K47*L47+O47*P47+S47*T47</f>
        <v>42</v>
      </c>
      <c r="AB47" s="99">
        <f t="shared" ref="AB47:AB52" si="92">(H47*(IF(I47&lt;45%,0.5,IF(I47&lt;55%,0.8,IF(I47&lt;65%,0.9,IF(I47&lt;75%,1,IF(I47&lt;85%,1.1,1.2))))))+L47*(IF(M47&lt;45%,0.5,IF(M47&lt;55%,0.8,IF(M47&lt;65%,0.9,IF(M47&lt;75%,1,IF(M47&lt;85%,1.1,1.2))))))+P47*(IF(Q47&lt;45%,0.5,IF(Q47&lt;55%,0.8,IF(Q47&lt;65%,0.9,IF(Q47&lt;75%,1,IF(Q47&lt;85%,1.1,1.2))))))+T47*(IF(U47&lt;45%,0.5,IF(U47&lt;55%,0.8,IF(U47&lt;65%,0.9,IF(U47&lt;75%,1,IF(U47&lt;85%,1.1,1.2)))))))*IF(D47&gt;=0.8,6,IF(D47&lt;=0.4,1.5,3))</f>
        <v>28.8</v>
      </c>
      <c r="AC47" s="9"/>
      <c r="AD47" s="9"/>
      <c r="AE47" s="9"/>
      <c r="AF47" s="112"/>
      <c r="AG47" s="9"/>
      <c r="AH47" s="9"/>
      <c r="AI47" s="9"/>
      <c r="AJ47" s="9"/>
      <c r="AK47" s="175"/>
      <c r="AL47" s="39"/>
      <c r="AM47" s="3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</row>
    <row r="48" ht="15.0" customHeight="1">
      <c r="A48" s="43">
        <f>A41+2</f>
        <v>42340</v>
      </c>
      <c r="B48" s="101" t="str">
        <f t="shared" ref="B48:C48" si="80">IF(B11="","",B11)</f>
        <v>Средняя</v>
      </c>
      <c r="C48" s="143" t="str">
        <f t="shared" si="80"/>
        <v>Выпады назад</v>
      </c>
      <c r="D48" s="46">
        <f t="shared" si="81"/>
        <v>1</v>
      </c>
      <c r="E48" s="144">
        <f t="shared" si="61"/>
        <v>2</v>
      </c>
      <c r="F48" s="59">
        <f t="shared" si="82"/>
        <v>7.1</v>
      </c>
      <c r="G48" s="60">
        <v>10.0</v>
      </c>
      <c r="H48" s="60">
        <v>1.0</v>
      </c>
      <c r="I48" s="61">
        <v>0.5</v>
      </c>
      <c r="J48" s="59">
        <f t="shared" si="83"/>
        <v>9.5</v>
      </c>
      <c r="K48" s="60">
        <v>8.0</v>
      </c>
      <c r="L48" s="60">
        <v>3.0</v>
      </c>
      <c r="M48" s="61">
        <v>0.67</v>
      </c>
      <c r="N48" s="59" t="str">
        <f t="shared" si="84"/>
        <v/>
      </c>
      <c r="O48" s="60"/>
      <c r="P48" s="60"/>
      <c r="Q48" s="61">
        <v>0.0</v>
      </c>
      <c r="R48" s="59" t="str">
        <f t="shared" si="85"/>
        <v/>
      </c>
      <c r="S48" s="60"/>
      <c r="T48" s="60"/>
      <c r="U48" s="61">
        <v>0.0</v>
      </c>
      <c r="V48" s="104">
        <f t="shared" si="86"/>
        <v>598</v>
      </c>
      <c r="W48" s="64">
        <f t="shared" si="87"/>
        <v>17.58823529</v>
      </c>
      <c r="X48" s="65">
        <f t="shared" si="88"/>
        <v>0.62</v>
      </c>
      <c r="Y48" s="137">
        <f t="shared" si="89"/>
        <v>14.14</v>
      </c>
      <c r="Z48" s="64" t="str">
        <f t="shared" si="90"/>
        <v>#REF!</v>
      </c>
      <c r="AA48" s="60">
        <f t="shared" si="91"/>
        <v>34</v>
      </c>
      <c r="AB48" s="66">
        <f t="shared" si="92"/>
        <v>22.8</v>
      </c>
      <c r="AC48" s="9"/>
      <c r="AD48" s="9"/>
      <c r="AE48" s="9"/>
      <c r="AF48" s="112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</row>
    <row r="49" ht="15.75" customHeight="1">
      <c r="A49" s="57"/>
      <c r="B49" s="101" t="str">
        <f t="shared" ref="B49:C49" si="93">IF(B12="","",B12)</f>
        <v>Легкая</v>
      </c>
      <c r="C49" s="143" t="str">
        <f t="shared" si="93"/>
        <v>Отведение ноги назад</v>
      </c>
      <c r="D49" s="46">
        <f t="shared" si="81"/>
        <v>0.3</v>
      </c>
      <c r="E49" s="144">
        <f t="shared" si="61"/>
        <v>4</v>
      </c>
      <c r="F49" s="105">
        <f t="shared" si="82"/>
        <v>2</v>
      </c>
      <c r="G49" s="106">
        <v>12.0</v>
      </c>
      <c r="H49" s="106">
        <v>4.0</v>
      </c>
      <c r="I49" s="107">
        <v>0.4</v>
      </c>
      <c r="J49" s="105" t="str">
        <f t="shared" si="83"/>
        <v/>
      </c>
      <c r="K49" s="106"/>
      <c r="L49" s="106"/>
      <c r="M49" s="107">
        <v>0.0</v>
      </c>
      <c r="N49" s="105" t="str">
        <f t="shared" si="84"/>
        <v/>
      </c>
      <c r="O49" s="106"/>
      <c r="P49" s="106"/>
      <c r="Q49" s="107">
        <v>0.0</v>
      </c>
      <c r="R49" s="105" t="str">
        <f t="shared" si="85"/>
        <v/>
      </c>
      <c r="S49" s="106"/>
      <c r="T49" s="106"/>
      <c r="U49" s="107">
        <v>0.0</v>
      </c>
      <c r="V49" s="108">
        <f t="shared" si="86"/>
        <v>384</v>
      </c>
      <c r="W49" s="109">
        <f t="shared" si="87"/>
        <v>8</v>
      </c>
      <c r="X49" s="110">
        <f t="shared" si="88"/>
        <v>0.4</v>
      </c>
      <c r="Y49" s="137">
        <f t="shared" si="89"/>
        <v>5.05</v>
      </c>
      <c r="Z49" s="109" t="str">
        <f t="shared" si="90"/>
        <v>#REF!</v>
      </c>
      <c r="AA49" s="106">
        <f t="shared" si="91"/>
        <v>48</v>
      </c>
      <c r="AB49" s="111">
        <f t="shared" si="92"/>
        <v>3</v>
      </c>
      <c r="AC49" s="9"/>
      <c r="AD49" s="9"/>
      <c r="AE49" s="9"/>
      <c r="AF49" s="112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</row>
    <row r="50" ht="15.75" customHeight="1">
      <c r="A50" s="57"/>
      <c r="B50" s="101" t="str">
        <f t="shared" ref="B50:C50" si="94">IF(B13="","",B13)</f>
        <v>Средняя</v>
      </c>
      <c r="C50" s="143" t="str">
        <f t="shared" si="94"/>
        <v>Тяга верхнего блока</v>
      </c>
      <c r="D50" s="46">
        <f t="shared" si="81"/>
        <v>0.3</v>
      </c>
      <c r="E50" s="144">
        <f t="shared" si="61"/>
        <v>4</v>
      </c>
      <c r="F50" s="59">
        <f t="shared" si="82"/>
        <v>3.2</v>
      </c>
      <c r="G50" s="60">
        <v>12.0</v>
      </c>
      <c r="H50" s="60">
        <v>1.0</v>
      </c>
      <c r="I50" s="61">
        <v>0.4</v>
      </c>
      <c r="J50" s="59">
        <f t="shared" si="83"/>
        <v>4</v>
      </c>
      <c r="K50" s="60">
        <v>12.0</v>
      </c>
      <c r="L50" s="60">
        <v>3.0</v>
      </c>
      <c r="M50" s="61">
        <v>0.5</v>
      </c>
      <c r="N50" s="59" t="str">
        <f t="shared" si="84"/>
        <v/>
      </c>
      <c r="O50" s="60"/>
      <c r="P50" s="60"/>
      <c r="Q50" s="61">
        <v>0.0</v>
      </c>
      <c r="R50" s="59" t="str">
        <f t="shared" si="85"/>
        <v/>
      </c>
      <c r="S50" s="60"/>
      <c r="T50" s="60"/>
      <c r="U50" s="61">
        <v>0.0</v>
      </c>
      <c r="V50" s="104">
        <f t="shared" si="86"/>
        <v>729.6</v>
      </c>
      <c r="W50" s="64">
        <f t="shared" si="87"/>
        <v>15.2</v>
      </c>
      <c r="X50" s="65">
        <f t="shared" si="88"/>
        <v>0.47</v>
      </c>
      <c r="Y50" s="137">
        <f t="shared" si="89"/>
        <v>8.08</v>
      </c>
      <c r="Z50" s="64" t="str">
        <f t="shared" si="90"/>
        <v>#REF!</v>
      </c>
      <c r="AA50" s="60">
        <f t="shared" si="91"/>
        <v>48</v>
      </c>
      <c r="AB50" s="66">
        <f t="shared" si="92"/>
        <v>4.35</v>
      </c>
      <c r="AC50" s="9"/>
      <c r="AD50" s="9"/>
      <c r="AE50" s="9"/>
      <c r="AF50" s="112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</row>
    <row r="51" ht="15.75" customHeight="1">
      <c r="A51" s="57"/>
      <c r="B51" s="101" t="str">
        <f t="shared" ref="B51:C51" si="95">IF(B14="","",B14)</f>
        <v>Тяжелая</v>
      </c>
      <c r="C51" s="143" t="str">
        <f t="shared" si="95"/>
        <v>Тяга горизонтального блока</v>
      </c>
      <c r="D51" s="46">
        <f t="shared" si="81"/>
        <v>0.3</v>
      </c>
      <c r="E51" s="144">
        <f t="shared" si="61"/>
        <v>4</v>
      </c>
      <c r="F51" s="105">
        <f t="shared" si="82"/>
        <v>4.5</v>
      </c>
      <c r="G51" s="106">
        <v>10.0</v>
      </c>
      <c r="H51" s="106">
        <v>1.0</v>
      </c>
      <c r="I51" s="107">
        <v>0.5</v>
      </c>
      <c r="J51" s="105">
        <f t="shared" si="83"/>
        <v>5.9</v>
      </c>
      <c r="K51" s="106">
        <v>10.0</v>
      </c>
      <c r="L51" s="106">
        <v>3.0</v>
      </c>
      <c r="M51" s="107">
        <v>0.65</v>
      </c>
      <c r="N51" s="105" t="str">
        <f t="shared" si="84"/>
        <v/>
      </c>
      <c r="O51" s="106"/>
      <c r="P51" s="106"/>
      <c r="Q51" s="107">
        <v>0.0</v>
      </c>
      <c r="R51" s="105" t="str">
        <f t="shared" si="85"/>
        <v/>
      </c>
      <c r="S51" s="106"/>
      <c r="T51" s="106"/>
      <c r="U51" s="107">
        <v>0.0</v>
      </c>
      <c r="V51" s="108">
        <f t="shared" si="86"/>
        <v>888</v>
      </c>
      <c r="W51" s="109">
        <f t="shared" si="87"/>
        <v>22.2</v>
      </c>
      <c r="X51" s="117">
        <f t="shared" si="88"/>
        <v>0.61</v>
      </c>
      <c r="Y51" s="137">
        <f t="shared" si="89"/>
        <v>9.09</v>
      </c>
      <c r="Z51" s="109" t="str">
        <f t="shared" si="90"/>
        <v>#REF!</v>
      </c>
      <c r="AA51" s="106">
        <f t="shared" si="91"/>
        <v>40</v>
      </c>
      <c r="AB51" s="111">
        <f t="shared" si="92"/>
        <v>5.7</v>
      </c>
      <c r="AC51" s="9"/>
      <c r="AD51" s="9"/>
      <c r="AE51" s="9"/>
      <c r="AF51" s="112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</row>
    <row r="52" ht="15.75" customHeight="1">
      <c r="A52" s="57"/>
      <c r="B52" s="101" t="str">
        <f t="shared" ref="B52:C52" si="96">IF(B15="","",B15)</f>
        <v>Легкая</v>
      </c>
      <c r="C52" s="143" t="str">
        <f t="shared" si="96"/>
        <v>Разведения в тренажёре на заднюю дельту</v>
      </c>
      <c r="D52" s="46">
        <f t="shared" si="81"/>
        <v>0.3</v>
      </c>
      <c r="E52" s="144">
        <f t="shared" si="61"/>
        <v>4</v>
      </c>
      <c r="F52" s="59">
        <f t="shared" si="82"/>
        <v>1.5</v>
      </c>
      <c r="G52" s="60">
        <v>12.0</v>
      </c>
      <c r="H52" s="60">
        <v>4.0</v>
      </c>
      <c r="I52" s="61">
        <v>0.38</v>
      </c>
      <c r="J52" s="59" t="str">
        <f t="shared" si="83"/>
        <v/>
      </c>
      <c r="K52" s="60"/>
      <c r="L52" s="60"/>
      <c r="M52" s="61">
        <v>0.0</v>
      </c>
      <c r="N52" s="59" t="str">
        <f t="shared" si="84"/>
        <v/>
      </c>
      <c r="O52" s="60"/>
      <c r="P52" s="60"/>
      <c r="Q52" s="61">
        <v>0.0</v>
      </c>
      <c r="R52" s="59" t="str">
        <f t="shared" si="85"/>
        <v/>
      </c>
      <c r="S52" s="60"/>
      <c r="T52" s="60"/>
      <c r="U52" s="61">
        <v>0.0</v>
      </c>
      <c r="V52" s="104">
        <f t="shared" si="86"/>
        <v>288</v>
      </c>
      <c r="W52" s="64">
        <f t="shared" si="87"/>
        <v>6</v>
      </c>
      <c r="X52" s="65">
        <f t="shared" si="88"/>
        <v>0.37</v>
      </c>
      <c r="Y52" s="137">
        <f t="shared" si="89"/>
        <v>4.04</v>
      </c>
      <c r="Z52" s="64" t="str">
        <f t="shared" si="90"/>
        <v>#REF!</v>
      </c>
      <c r="AA52" s="60">
        <f t="shared" si="91"/>
        <v>48</v>
      </c>
      <c r="AB52" s="66">
        <f t="shared" si="92"/>
        <v>3</v>
      </c>
      <c r="AC52" s="9"/>
      <c r="AD52" s="9"/>
      <c r="AE52" s="9"/>
      <c r="AF52" s="112"/>
      <c r="AG52" s="9"/>
      <c r="AH52" s="9"/>
      <c r="AI52" s="9"/>
      <c r="AJ52" s="9"/>
      <c r="AK52" s="113"/>
      <c r="AL52" s="113"/>
      <c r="AM52" s="113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</row>
    <row r="53" ht="15.75" customHeight="1">
      <c r="A53" s="72"/>
      <c r="B53" s="119" t="str">
        <f t="shared" ref="B53:C53" si="97">IF(B16="","",B16)</f>
        <v/>
      </c>
      <c r="C53" s="146" t="str">
        <f t="shared" si="97"/>
        <v>Сгибания рук с гантелями</v>
      </c>
      <c r="D53" s="75">
        <f>ROUND(IFERROR((D47*(G47*H47+K47*L47+O47*P47+S47*T47)+D48*(G48*H48+K48*L48+O48*P48+S48*T48)+D49*(G49*H49+K49*L49+O49*P49+S49*T49)+D50*(G50*H50+K50*L50+O50*P50+S50*T50)+D51*(G51*H51+K51*L51+O51*P51+S51*T51)+D52*(G52*H52+K52*L52+O52*P52+S52*T52))/((G47*H47+K47*L47+O47*P47+S47*T47)+(G48*H48+K48*L48+O48*P48+S48*T48)+(G49*H49+K49*L49+O49*P49+S49*T49)+(G50*H50+K50*L50+O50*P50+S50*T50)+(G51*H51+K51*L51+O51*P51+S51*T51)+(G52*H52+K52*L52+O52*P52+S52*T52)),0),2)</f>
        <v>0.5</v>
      </c>
      <c r="E53" s="121" t="str">
        <f t="shared" si="61"/>
        <v/>
      </c>
      <c r="F53" s="122"/>
      <c r="G53" s="123"/>
      <c r="H53" s="123"/>
      <c r="I53" s="124"/>
      <c r="J53" s="122"/>
      <c r="K53" s="123"/>
      <c r="L53" s="123"/>
      <c r="M53" s="124"/>
      <c r="N53" s="122"/>
      <c r="O53" s="123"/>
      <c r="P53" s="123"/>
      <c r="Q53" s="124"/>
      <c r="R53" s="122"/>
      <c r="S53" s="123"/>
      <c r="T53" s="123"/>
      <c r="U53" s="124"/>
      <c r="V53" s="125">
        <f>SUM(V47:V52)</f>
        <v>4282.6</v>
      </c>
      <c r="W53" s="82">
        <f>IFERROR(V53/AA53,0)</f>
        <v>16.47153846</v>
      </c>
      <c r="X53" s="83">
        <f>ROUND(IFERROR(((I47*G47*H47+M47*K47*L47+Q47*O47*P47+U47*S47*T47)+(I48*G48*H48+M48*K48*L48+Q48*O48*P48+U48*S48*T48)+(I49*G49*H49+M49*K49*L49+Q49*O49*P49+U49*S49*T49)+(I50*G50*H50+M50*K50*L50+Q50*O50*P50+U50*S50*T50)+(I51*G51*H51+M51*K51*L51+Q51*O51*P51+U51*S51*T51)+(I52*G52*H52+M52*K52*L52+Q52*O52*P52+U52*S52*T52))/((G47*H47+K47*L47+O47*P47+S47*T47)+(G48*H48+K48*L48+O48*P48+S48*T48)+(G49*H49+K49*L49+O49*P49+S49*T49)+(G50*H50+K50*L50+O50*P50+S50*T50)+(G51*H51+K51*L51+O51*P51+S51*T51)+(G52*H52+K52*L52+O52*P52+S52*T52)),0),3)</f>
        <v>0.506</v>
      </c>
      <c r="Y53" s="84"/>
      <c r="Z53" s="82" t="str">
        <f t="shared" ref="Z53:AA53" si="98">SUM(Z47:Z52)</f>
        <v>#REF!</v>
      </c>
      <c r="AA53" s="85">
        <f t="shared" si="98"/>
        <v>260</v>
      </c>
      <c r="AB53" s="86">
        <f>IF(SUM(AB47:AB52)=0,TIME(,0,),TIME(,SUM(AB47:AB52)+30,))</f>
        <v>0.06736111111</v>
      </c>
      <c r="AC53" s="9"/>
      <c r="AD53" s="9"/>
      <c r="AE53" s="9"/>
      <c r="AF53" s="112"/>
      <c r="AG53" s="9"/>
      <c r="AH53" s="9"/>
      <c r="AI53" s="9"/>
      <c r="AJ53" s="9"/>
      <c r="AK53" s="113"/>
      <c r="AL53" s="113"/>
      <c r="AM53" s="113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</row>
    <row r="54" ht="15.75" customHeight="1">
      <c r="A54" s="126" t="s">
        <v>36</v>
      </c>
      <c r="B54" s="127" t="str">
        <f t="shared" ref="B54:C54" si="99">IF(B17="","",B17)</f>
        <v>Средняя</v>
      </c>
      <c r="C54" s="176" t="str">
        <f t="shared" si="99"/>
        <v>Ягодичный мост</v>
      </c>
      <c r="D54" s="29">
        <f t="shared" ref="D54:D59" si="101">D17</f>
        <v>1.3</v>
      </c>
      <c r="E54" s="129" t="str">
        <f t="shared" si="61"/>
        <v/>
      </c>
      <c r="F54" s="31">
        <f t="shared" ref="F54:F59" si="102">IF(I54&lt;&gt;0,(IFERROR(IF($Y54&gt;50,MROUND($Y54*I54,2.5),IF($Y54&lt;15,MROUND($Y54*I54,0.1),MROUND($Y54*I54,1))),)),"")</f>
        <v>50</v>
      </c>
      <c r="G54" s="32">
        <v>12.0</v>
      </c>
      <c r="H54" s="32">
        <v>5.0</v>
      </c>
      <c r="I54" s="33">
        <v>0.5</v>
      </c>
      <c r="J54" s="31" t="str">
        <f t="shared" ref="J54:J59" si="103">IF(M54&lt;&gt;0,(IFERROR(IF($Y54&gt;50,MROUND($Y54*M54,2.5),IF($Y54&lt;15,MROUND($Y54*M54,0.1),MROUND($Y54*M54,1))),)),"")</f>
        <v/>
      </c>
      <c r="K54" s="32"/>
      <c r="L54" s="32"/>
      <c r="M54" s="33">
        <v>0.0</v>
      </c>
      <c r="N54" s="31" t="str">
        <f t="shared" ref="N54:N59" si="104">IF(Q54&lt;&gt;0,(IFERROR(IF($Y54&gt;50,MROUND($Y54*Q54,2.5),IF($Y54&lt;15,MROUND($Y54*Q54,0.1),MROUND($Y54*Q54,1))),)),"")</f>
        <v/>
      </c>
      <c r="O54" s="32"/>
      <c r="P54" s="32"/>
      <c r="Q54" s="33">
        <v>0.0</v>
      </c>
      <c r="R54" s="31" t="str">
        <f t="shared" ref="R54:R59" si="105">IF(U54&lt;&gt;0,(IFERROR(IF($Y54&gt;50,MROUND($Y54*U54,2.5),IF($Y54&lt;15,MROUND($Y54*U54,0.1),MROUND($Y54*U54,1))),)),"")</f>
        <v/>
      </c>
      <c r="S54" s="32"/>
      <c r="T54" s="32"/>
      <c r="U54" s="33">
        <v>0.0</v>
      </c>
      <c r="V54" s="130">
        <f t="shared" ref="V54:V59" si="106">(IF(ISNUMBER(F54),F54,1)*G54*H54+IF(ISNUMBER(J54),J54,1)*K54*L54+IF(ISNUMBER(N54),N54,1)*O54*P54+IF(ISNUMBER(R54),R54,1)*S54*T54)*IF(ISNUMBER(E54),E54,1)</f>
        <v>3000</v>
      </c>
      <c r="W54" s="36">
        <f t="shared" ref="W54:W59" si="107">IFERROR((IF(ISNUMBER(F54),F54,1)*G54*H54+IF(ISNUMBER(J54),J54,1)*K54*L54+IF(ISNUMBER(N54),N54,1)*O54*P54+IF(ISNUMBER(R54),R54,1)*S54*T54)*IF(ISNUMBER(E54),E54,1)/(G54*H54+K54*L54+O54*P54+S54*T54),0)</f>
        <v>50</v>
      </c>
      <c r="X54" s="34">
        <f t="shared" ref="X54:X59" si="108">ROUND(IFERROR((W54/(Y54*IF(ISNUMBER(E54),E54,1))),0),2)</f>
        <v>0.5</v>
      </c>
      <c r="Y54" s="37">
        <f t="shared" ref="Y54:Y59" si="109">IF(ISNUMBER(Y17), Y17+(Y17*$Y$38),"")</f>
        <v>101</v>
      </c>
      <c r="Z54" s="36" t="str">
        <f t="shared" ref="Z54:Z59" si="110">(IF(I54&lt;30%,0,IF(I54&lt;35%,F54*G54*H54*F!$B$33,IF(I54&lt;40%,F54*G54*H54*F!$B$38,IF(I54&lt;45%,F54*G54*H54*F!$B$43,IF(I54&lt;50%,F54*G54*H54*F!$B$48,IF(I54=50%,F54*G54*H54*F!$B$50,IF(I54=51%,F54*G54*H54*F!$B$51,IF(I54=52%,F54*G54*H54*F!$B$52,IF(I54=53%,F54*G54*H54*F!$B$53,IF(I54=54%,F54*G54*H54*F!$B$54,IF(I54=55%,F54*G54*H54*F!$B$55,IF(I54=56%,F54*G54*H54*F!$B$56,IF(I54=57%,F54*G54*H54*F!$B$57,IF(I54=58%,F54*G54*H54*F!$B$58,IF(I54=59%,F54*G54*H54*F!$B$59,IF(I54=60%,F54*G54*H54*F!$B$60,IF(I54=61%,F54*G54*H54*F!$B$61,IF(I54=62%,F54*G54*H54*F!$B$62,IF(I54=63%,F54*G54*H54*F!$B$63,IF(I54=64%,F54*G54*H54*F!$B$64,IF(I54=65%,F54*G54*H54*F!$B$65,IF(I54=66%,F54*G54*H54*F!$B$66,IF(I54=67%,F54*G54*H54*F!$B$67,IF(I54=68%,F54*G54*H54*F!$B$68,IF(I54=69%,F54*G54*H54*F!$B$69,IF(I54=70%,F54*G54*H54*F!$B$70,IF(I54=71%,F54*G54*H54*F!$B$71,IF(I54=72%,F54*G54*H54*F!$B$72,IF(I54=73%,F54*G54*H54*F!$B$73,IF(I54=74%,F54*G54*H54*F!$B$74,IF(I54=75%,F54*G54*H54*F!$B$75,IF(I54=76%,F54*G54*H54*F!$B$76,IF(I54=77%,F54*G54*H54*F!$B$77,IF(I54=78%,F54*G54*H54*F!$B$78,IF(I54=79%,F54*G54*H54*F!$B$79,IF(I54=80%,F54*G54*H54*F!$B$80,IF(I54=81%,F54*G54*H54*F!$B$81,IF(I54=82%,F54*G54*H54*F!$B$82,IF(I54=83%,F54*G54*H54*F!$B$83,IF(I54=84%,F54*G54*H54*F!$B$84,IF(I54=85%,F54*G54*H54*F!$B$85,IF(I54=86%,F54*G54*H54*F!$B$86,IF(I54=87%,F54*G54*H54*F!$B$87,IF(I54=88%,F54*G54*H54*F!$B$88,IF(I54=89%,F54*G54*H54*F!$B$89,IF(I54=90%,F54*G54*H54*F!$B$90,IF(I54=91%,F54*G54*H54*F!$B$91,IF(I54=92%,F54*G54*H54*F!$B$92,IF(I54=93%,F54*G54*H54*F!$B$93,IF(I54=94%,F54*G54*H54*F!$B$94,IF(I54=95%,F54*G54*H54*F!$B$95,IF(I54=96%,F54*G54*H54*F!$B$96,IF(I54=97%,F54*G54*H54*F!$B$97,IF(I54=98%,F54*G54*H54*F!$B$98,IF(I54=99%,F54*G54*H54*F!$B$99,IF(I54&gt;99%,F54*G54*H54*F!$B$100,))))))))))))))))))))))))))))))))))))))))))))))))))))))))+IF(M54&lt;30%,0,IF(M54&lt;35%,J54*K54*L54*F!$B$33,IF(M54&lt;40%,J54*K54*L54*F!$B$38,IF(M54&lt;45%,J54*K54*L54*F!$B$43,IF(M54&lt;50%,J54*K54*L54*F!$B$48,IF(M54=50%,J54*K54*L54*F!$B$50,IF(M54=51%,J54*K54*L54*F!$B$51,IF(M54=52%,J54*K54*L54*F!$B$52,IF(M54=53%,J54*K54*L54*F!$B$53,IF(M54=54%,J54*K54*L54*F!$B$54,IF(M54=55%,J54*K54*L54*F!$B$55,IF(M54=56%,J54*K54*L54*F!$B$56,IF(M54=57%,J54*K54*L54*F!$B$57,IF(M54=58%,J54*K54*L54*F!$B$58,IF(M54=59%,J54*K54*L54*F!$B$59,IF(M54=60%,J54*K54*L54*F!$B$60,IF(M54=61%,J54*K54*L54*F!$B$61,IF(M54=62%,J54*K54*L54*F!$B$62,IF(M54=63%,J54*K54*L54*F!$B$63,IF(M54=64%,J54*K54*L54*F!$B$64,IF(M54=65%,J54*K54*L54*F!$B$65,IF(M54=66%,J54*K54*L54*F!$B$66,IF(M54=67%,J54*K54*L54*F!$B$67,IF(M54=68%,J54*K54*L54*F!$B$68,IF(M54=69%,J54*K54*L54*F!$B$69,IF(M54=70%,J54*K54*L54*F!$B$70,IF(M54=71%,J54*K54*L54*F!$B$71,IF(M54=72%,J54*K54*L54*F!$B$72,IF(M54=73%,J54*K54*L54*F!$B$73,IF(M54=74%,J54*K54*L54*F!$B$74,IF(M54=75%,J54*K54*L54*F!$B$75,IF(M54=76%,J54*K54*L54*F!$B$76,IF(M54=77%,J54*K54*L54*F!$B$77,IF(M54=78%,J54*K54*L54*F!$B$78,IF(M54=79%,J54*K54*L54*F!$B$79,IF(M54=80%,J54*K54*L54*F!$B$80,IF(M54=81%,J54*K54*L54*F!$B$81,IF(M54=82%,J54*K54*L54*F!$B$82,IF(M54=83%,J54*K54*L54*F!$B$83,IF(M54=84%,J54*K54*L54*F!$B$84,IF(M54=85%,J54*K54*L54*F!$B$85,IF(M54=86%,J54*K54*L54*F!$B$86,IF(M54=87%,J54*K54*L54*F!$B$87,IF(M54=88%,J54*K54*L54*F!$B$88,IF(M54=89%,J54*K54*L54*F!$B$89,IF(M54=90%,J54*K54*L54*F!$B$90,IF(M54=91%,J54*K54*L54*F!$B$91,IF(M54=92%,J54*K54*L54*F!$B$92,IF(M54=93%,J54*K54*L54*F!$B$93,IF(M54=94%,J54*K54*L54*F!$B$94,IF(M54=95%,J54*K54*L54*F!$B$95,IF(M54=96%,J54*K54*L54*F!$B$96,IF(M54=97%,J54*K54*L54*F!$B$97,IF(M54=98%,J54*K54*L54*F!$B$98,IF(M54=99%,J54*K54*L54*F!$B$99,IF(M54&gt;99%,J54*K54*L54*F!$B$100,))))))))))))))))))))))))))))))))))))))))))))))))))))))))+IF(Q54&lt;30%,0,IF(Q54&lt;35%,N54*O54*P54*F!$B$33,IF(Q54&lt;40%,N54*O54*P54*F!$B$38,IF(Q54&lt;45%,N54*O54*P54*F!$B$43,IF(Q54&lt;50%,N54*O54*P54*F!$B$48,IF(Q54=50%,N54*O54*P54*F!$B$50,IF(Q54=51%,N54*O54*P54*F!$B$51,IF(Q54=52%,N54*O54*P54*F!$B$52,IF(Q54=53%,N54*O54*P54*F!$B$53,IF(Q54=54%,N54*O54*P54*F!$B$54,IF(Q54=55%,N54*O54*P54*F!$B$55,IF(Q54=56%,N54*O54*P54*F!$B$56,IF(Q54=57%,N54*O54*P54*F!$B$57,IF(Q54=58%,N54*O54*P54*F!$B$58,IF(Q54=59%,N54*O54*P54*F!$B$59,IF(Q54=60%,N54*O54*P54*F!$B$60,IF(Q54=61%,N54*O54*P54*F!$B$61,IF(Q54=62%,N54*O54*P54*F!$B$62,IF(Q54=63%,N54*O54*P54*F!$B$63,IF(Q54=64%,N54*O54*P54*F!$B$64,IF(Q54=65%,N54*O54*P54*F!$B$65,IF(Q54=66%,N54*O54*P54*F!$B$66,IF(Q54=67%,N54*O54*P54*F!$B$67,IF(Q54=68%,N54*O54*P54*F!$B$68,IF(Q54=69%,N54*O54*P54*F!$B$69,IF(Q54=70%,N54*O54*P54*F!$B$70,IF(Q54=71%,N54*O54*P54*F!$B$71,IF(Q54=72%,N54*O54*P54*F!$B$72,IF(Q54=73%,N54*O54*P54*F!$B$73,IF(Q54=74%,N54*O54*P54*F!$B$74,IF(Q54=75%,N54*O54*P54*F!$B$75,IF(Q54=76%,N54*O54*P54*F!$B$76,IF(Q54=77%,N54*O54*P54*F!$B$77,IF(Q54=78%,N54*O54*P54*F!$B$78,IF(Q54=79%,N54*O54*P54*F!$B$79,IF(Q54=80%,N54*O54*P54*F!$B$80,IF(Q54=81%,N54*O54*P54*F!$B$81,IF(Q54=82%,N54*O54*P54*F!$B$82,IF(Q54=83%,N54*O54*P54*F!$B$83,IF(Q54=84%,N54*O54*P54*F!$B$84,IF(Q54=85%,N54*O54*P54*F!$B$85,IF(Q54=86%,N54*O54*P54*F!$B$86,IF(Q54=87%,N54*O54*P54*F!$B$87,IF(Q54=88%,N54*O54*P54*F!$B$88,IF(Q54=89%,N54*O54*P54*F!$B$89,IF(Q54=90%,N54*O54*P54*F!$B$90,IF(Q54=91%,N54*O54*P54*F!$B$91,IF(Q54=92%,N54*O54*P54*F!$B$92,IF(Q54=93%,N54*O54*P54*F!$B$93,IF(Q54=94%,N54*O54*P54*F!$B$94,IF(Q54=95%,N54*O54*P54*F!$B$95,IF(Q54=96%,N54*O54*P54*F!$B$96,IF(Q54=97%,N54*O54*P54*F!$B$97,IF(Q54=98%,N54*O54*P54*F!$B$98,IF(Q54=99%,N54*O54*P54*F!$B$99,IF(Q54&gt;99%,N54*O54*P54*F!$B$100,))))))))))))))))))))))))))))))))))))))))))))))))))))))))+IF(U54&lt;30%,0,IF(U54&lt;35%,R54*S54*T54*F!$B$33,IF(U54&lt;40%,R54*S54*T54*F!$B$38,IF(U54&lt;45%,R54*S54*T54*F!$B$43,IF(U54&lt;50%,R54*S54*T54*F!$B$48,IF(U54=50%,R54*S54*T54*F!$B$50,IF(U54=51%,R54*S54*T54*F!$B$51,IF(U54=52%,R54*S54*T54*F!$B$52,IF(U54=53%,R54*S54*T54*F!$B$53,IF(U54=54%,R54*S54*T54*F!$B$54,IF(U54=55%,R54*S54*T54*F!$B$55,IF(U54=56%,R54*S54*T54*F!$B$56,IF(U54=57%,R54*S54*T54*F!$B$57,IF(U54=58%,R54*S54*T54*F!$B$58,IF(U54=59%,R54*S54*T54*F!$B$59,IF(U54=60%,R54*S54*T54*F!$B$60,IF(U54=61%,R54*S54*T54*F!$B$61,IF(U54=62%,R54*S54*T54*F!$B$62,IF(U54=63%,R54*S54*T54*F!$B$63,IF(U54=64%,R54*S54*T54*F!$B$64,IF(U54=65%,R54*S54*T54*F!$B$65,IF(U54=66%,R54*S54*T54*F!$B$66,IF(U54=67%,R54*S54*T54*F!$B$67,IF(U54=68%,R54*S54*T54*F!$B$68,IF(U54=69%,R54*S54*T54*F!$B$69,IF(U54=70%,R54*S54*T54*F!$B$70,IF(U54=71%,R54*S54*T54*F!$B$71,IF(U54=72%,R54*S54*T54*F!$B$72,IF(U54=73%,R54*S54*T54*F!$B$73,IF(U54=74%,R54*S54*T54*F!$B$74,IF(U54=75%,R54*S54*T54*F!$B$75,IF(U54=76%,R54*S54*T54*F!$B$76,IF(U54=77%,R54*S54*T54*F!$B$77,IF(U54=78%,R54*S54*T54*F!$B$78,IF(U54=79%,R54*S54*T54*F!$B$79,IF(U54=80%,R54*S54*T54*F!$B$80,IF(U54=81%,R54*S54*T54*F!$B$81,IF(U54=82%,R54*S54*T54*F!$B$82,IF(U54=83%,R54*S54*T54*F!$B$83,IF(U54=84%,R54*S54*T54*F!$B$84,IF(U54=85%,R54*S54*T54*F!$B$85,IF(U54=86%,R54*S54*T54*F!$B$86,IF(U54=87%,R54*S54*T54*F!$B$87,IF(U54=88%,R54*S54*T54*F!$B$88,IF(U54=89%,R54*S54*T54*F!$B$89,IF(U54=90%,R54*S54*T54*F!$B$90,IF(U54=91%,R54*S54*T54*F!$B$91,IF(U54=92%,R54*S54*T54*F!$B$92,IF(U54=93%,R54*S54*T54*F!$B$93,IF(U54=94%,R54*S54*T54*F!$B$94,IF(U54=95%,R54*S54*T54*F!$B$95,IF(U54=96%,R54*S54*T54*F!$B$96,IF(U54=97%,R54*S54*T54*F!$B$97,IF(U54=98%,R54*S54*T54*F!$B$98,IF(U54=99%,R54*S54*T54*F!$B$99,IF(U54&gt;99%,R54*S54*T54*F!$B$100)))))))))))))))))))))))))))))))))))))))))))))))))))))))))*IF(ISNUMBER(E54),E54,1)*IF(ISNUMBER(D54),D54,1)</f>
        <v>#REF!</v>
      </c>
      <c r="AA54" s="32">
        <f t="shared" ref="AA54:AA59" si="111">G54*H54+K54*L54+O54*P54+S54*T54</f>
        <v>60</v>
      </c>
      <c r="AB54" s="38">
        <f t="shared" ref="AB54:AB59" si="112">(H54*(IF(I54&lt;45%,0.5,IF(I54&lt;55%,0.8,IF(I54&lt;65%,0.9,IF(I54&lt;75%,1,IF(I54&lt;85%,1.1,1.2))))))+L54*(IF(M54&lt;45%,0.5,IF(M54&lt;55%,0.8,IF(M54&lt;65%,0.9,IF(M54&lt;75%,1,IF(M54&lt;85%,1.1,1.2))))))+P54*(IF(Q54&lt;45%,0.5,IF(Q54&lt;55%,0.8,IF(Q54&lt;65%,0.9,IF(Q54&lt;75%,1,IF(Q54&lt;85%,1.1,1.2))))))+T54*(IF(U54&lt;45%,0.5,IF(U54&lt;55%,0.8,IF(U54&lt;65%,0.9,IF(U54&lt;75%,1,IF(U54&lt;85%,1.1,1.2)))))))*IF(D54&gt;=0.8,6,IF(D54&lt;=0.4,1.5,3))</f>
        <v>24</v>
      </c>
      <c r="AC54" s="9"/>
      <c r="AD54" s="9"/>
      <c r="AE54" s="9"/>
      <c r="AF54" s="112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</row>
    <row r="55" ht="15.0" customHeight="1">
      <c r="A55" s="43">
        <f>A48+2</f>
        <v>42342</v>
      </c>
      <c r="B55" s="131" t="str">
        <f t="shared" ref="B55:C55" si="100">IF(B18="","",B18)</f>
        <v>Легкая</v>
      </c>
      <c r="C55" s="177" t="str">
        <f t="shared" si="100"/>
        <v>Зашагивания на платформу</v>
      </c>
      <c r="D55" s="46">
        <f t="shared" si="101"/>
        <v>1</v>
      </c>
      <c r="E55" s="133" t="str">
        <f t="shared" si="61"/>
        <v/>
      </c>
      <c r="F55" s="48">
        <f t="shared" si="102"/>
        <v>0</v>
      </c>
      <c r="G55" s="49">
        <v>12.0</v>
      </c>
      <c r="H55" s="49">
        <v>2.0</v>
      </c>
      <c r="I55" s="50">
        <v>0.35</v>
      </c>
      <c r="J55" s="48">
        <f t="shared" si="103"/>
        <v>0</v>
      </c>
      <c r="K55" s="49">
        <v>15.0</v>
      </c>
      <c r="L55" s="49">
        <v>1.0</v>
      </c>
      <c r="M55" s="50">
        <v>0.4</v>
      </c>
      <c r="N55" s="48" t="str">
        <f t="shared" si="104"/>
        <v/>
      </c>
      <c r="O55" s="49"/>
      <c r="P55" s="49"/>
      <c r="Q55" s="50">
        <v>0.0</v>
      </c>
      <c r="R55" s="48" t="str">
        <f t="shared" si="105"/>
        <v/>
      </c>
      <c r="S55" s="49"/>
      <c r="T55" s="49"/>
      <c r="U55" s="50">
        <v>0.0</v>
      </c>
      <c r="V55" s="134">
        <f t="shared" si="106"/>
        <v>0</v>
      </c>
      <c r="W55" s="53">
        <f t="shared" si="107"/>
        <v>0</v>
      </c>
      <c r="X55" s="54">
        <f t="shared" si="108"/>
        <v>0</v>
      </c>
      <c r="Y55" s="137">
        <f t="shared" si="109"/>
        <v>0</v>
      </c>
      <c r="Z55" s="53" t="str">
        <f t="shared" si="110"/>
        <v>#REF!</v>
      </c>
      <c r="AA55" s="49">
        <f t="shared" si="111"/>
        <v>39</v>
      </c>
      <c r="AB55" s="56">
        <f t="shared" si="112"/>
        <v>9</v>
      </c>
      <c r="AC55" s="9"/>
      <c r="AD55" s="9"/>
      <c r="AE55" s="9"/>
      <c r="AF55" s="112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</row>
    <row r="56" ht="14.25" customHeight="1">
      <c r="A56" s="57"/>
      <c r="B56" s="135" t="str">
        <f t="shared" ref="B56:C56" si="113">IF(B19="","",B19)</f>
        <v>Средняя</v>
      </c>
      <c r="C56" s="177" t="str">
        <f t="shared" si="113"/>
        <v>Разведение ног</v>
      </c>
      <c r="D56" s="46">
        <f t="shared" si="101"/>
        <v>0.5</v>
      </c>
      <c r="E56" s="133">
        <f t="shared" si="61"/>
        <v>5</v>
      </c>
      <c r="F56" s="59">
        <f t="shared" si="102"/>
        <v>4</v>
      </c>
      <c r="G56" s="60">
        <v>12.0</v>
      </c>
      <c r="H56" s="60">
        <v>1.0</v>
      </c>
      <c r="I56" s="61">
        <v>0.4</v>
      </c>
      <c r="J56" s="59">
        <f t="shared" si="103"/>
        <v>5.6</v>
      </c>
      <c r="K56" s="60">
        <v>10.0</v>
      </c>
      <c r="L56" s="60">
        <v>3.0</v>
      </c>
      <c r="M56" s="61">
        <v>0.55</v>
      </c>
      <c r="N56" s="59" t="str">
        <f t="shared" si="104"/>
        <v/>
      </c>
      <c r="O56" s="60"/>
      <c r="P56" s="60"/>
      <c r="Q56" s="61">
        <v>0.0</v>
      </c>
      <c r="R56" s="59" t="str">
        <f t="shared" si="105"/>
        <v/>
      </c>
      <c r="S56" s="60"/>
      <c r="T56" s="60"/>
      <c r="U56" s="61">
        <v>0.0</v>
      </c>
      <c r="V56" s="104">
        <f t="shared" si="106"/>
        <v>1080</v>
      </c>
      <c r="W56" s="64">
        <f t="shared" si="107"/>
        <v>25.71428571</v>
      </c>
      <c r="X56" s="65">
        <f t="shared" si="108"/>
        <v>0.51</v>
      </c>
      <c r="Y56" s="137">
        <f t="shared" si="109"/>
        <v>10.1</v>
      </c>
      <c r="Z56" s="64" t="str">
        <f t="shared" si="110"/>
        <v>#REF!</v>
      </c>
      <c r="AA56" s="60">
        <f t="shared" si="111"/>
        <v>42</v>
      </c>
      <c r="AB56" s="66">
        <f t="shared" si="112"/>
        <v>9.6</v>
      </c>
      <c r="AC56" s="9"/>
      <c r="AD56" s="9"/>
      <c r="AE56" s="9"/>
      <c r="AF56" s="112"/>
      <c r="AG56" s="9"/>
      <c r="AH56" s="9"/>
      <c r="AI56" s="9"/>
      <c r="AJ56" s="9"/>
      <c r="AK56" s="9"/>
      <c r="AL56" s="164"/>
      <c r="AM56" s="164"/>
      <c r="AN56" s="168"/>
      <c r="AO56" s="168"/>
      <c r="AP56" s="168"/>
      <c r="AQ56" s="169"/>
      <c r="AR56" s="169"/>
      <c r="AS56" s="169"/>
      <c r="AT56" s="16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</row>
    <row r="57" ht="15.75" customHeight="1">
      <c r="A57" s="57"/>
      <c r="B57" s="135" t="str">
        <f t="shared" ref="B57:C57" si="114">IF(B20="","",B20)</f>
        <v>Легкая</v>
      </c>
      <c r="C57" s="177" t="str">
        <f t="shared" si="114"/>
        <v>Жим гантелй лежа</v>
      </c>
      <c r="D57" s="46">
        <f t="shared" si="101"/>
        <v>0.4</v>
      </c>
      <c r="E57" s="133">
        <f t="shared" si="61"/>
        <v>2</v>
      </c>
      <c r="F57" s="48">
        <f t="shared" si="102"/>
        <v>5</v>
      </c>
      <c r="G57" s="49">
        <v>10.0</v>
      </c>
      <c r="H57" s="49">
        <v>2.0</v>
      </c>
      <c r="I57" s="50">
        <v>0.41</v>
      </c>
      <c r="J57" s="48">
        <f t="shared" si="103"/>
        <v>6.7</v>
      </c>
      <c r="K57" s="49">
        <v>10.0</v>
      </c>
      <c r="L57" s="49">
        <v>2.0</v>
      </c>
      <c r="M57" s="50">
        <v>0.55</v>
      </c>
      <c r="N57" s="48" t="str">
        <f t="shared" si="104"/>
        <v/>
      </c>
      <c r="O57" s="49"/>
      <c r="P57" s="49"/>
      <c r="Q57" s="50">
        <v>0.0</v>
      </c>
      <c r="R57" s="48" t="str">
        <f t="shared" si="105"/>
        <v/>
      </c>
      <c r="S57" s="49"/>
      <c r="T57" s="49"/>
      <c r="U57" s="50">
        <v>0.0</v>
      </c>
      <c r="V57" s="134">
        <f t="shared" si="106"/>
        <v>468</v>
      </c>
      <c r="W57" s="53">
        <f t="shared" si="107"/>
        <v>11.7</v>
      </c>
      <c r="X57" s="54">
        <f t="shared" si="108"/>
        <v>0.48</v>
      </c>
      <c r="Y57" s="137">
        <f t="shared" si="109"/>
        <v>12.12</v>
      </c>
      <c r="Z57" s="53" t="str">
        <f t="shared" si="110"/>
        <v>#REF!</v>
      </c>
      <c r="AA57" s="49">
        <f t="shared" si="111"/>
        <v>40</v>
      </c>
      <c r="AB57" s="56">
        <f t="shared" si="112"/>
        <v>4.2</v>
      </c>
      <c r="AC57" s="9"/>
      <c r="AD57" s="9"/>
      <c r="AE57" s="9"/>
      <c r="AF57" s="112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</row>
    <row r="58" ht="15.75" customHeight="1">
      <c r="A58" s="57"/>
      <c r="B58" s="135" t="str">
        <f t="shared" ref="B58:C58" si="115">IF(B21="","",B21)</f>
        <v>Тяжелая</v>
      </c>
      <c r="C58" s="177" t="str">
        <f t="shared" si="115"/>
        <v>Ходьба выпадами</v>
      </c>
      <c r="D58" s="46">
        <f t="shared" si="101"/>
        <v>0.4</v>
      </c>
      <c r="E58" s="133">
        <f t="shared" si="61"/>
        <v>2</v>
      </c>
      <c r="F58" s="59">
        <f t="shared" si="102"/>
        <v>7</v>
      </c>
      <c r="G58" s="60">
        <v>10.0</v>
      </c>
      <c r="H58" s="60">
        <v>1.0</v>
      </c>
      <c r="I58" s="61">
        <v>0.48</v>
      </c>
      <c r="J58" s="59">
        <f t="shared" si="103"/>
        <v>9</v>
      </c>
      <c r="K58" s="60">
        <v>8.0</v>
      </c>
      <c r="L58" s="60">
        <v>1.0</v>
      </c>
      <c r="M58" s="61">
        <v>0.6</v>
      </c>
      <c r="N58" s="59">
        <f t="shared" si="104"/>
        <v>11</v>
      </c>
      <c r="O58" s="60">
        <v>8.0</v>
      </c>
      <c r="P58" s="60">
        <v>2.0</v>
      </c>
      <c r="Q58" s="61">
        <v>0.7</v>
      </c>
      <c r="R58" s="59" t="str">
        <f t="shared" si="105"/>
        <v/>
      </c>
      <c r="S58" s="60"/>
      <c r="T58" s="60"/>
      <c r="U58" s="61">
        <v>0.0</v>
      </c>
      <c r="V58" s="104">
        <f t="shared" si="106"/>
        <v>636</v>
      </c>
      <c r="W58" s="64">
        <f t="shared" si="107"/>
        <v>18.70588235</v>
      </c>
      <c r="X58" s="62">
        <f t="shared" si="108"/>
        <v>0.62</v>
      </c>
      <c r="Y58" s="137">
        <f t="shared" si="109"/>
        <v>15.15</v>
      </c>
      <c r="Z58" s="64" t="str">
        <f t="shared" si="110"/>
        <v>#REF!</v>
      </c>
      <c r="AA58" s="60">
        <f t="shared" si="111"/>
        <v>34</v>
      </c>
      <c r="AB58" s="66">
        <f t="shared" si="112"/>
        <v>5.55</v>
      </c>
      <c r="AC58" s="9"/>
      <c r="AD58" s="9"/>
      <c r="AE58" s="9"/>
      <c r="AF58" s="112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ht="15.75" customHeight="1">
      <c r="A59" s="57"/>
      <c r="B59" s="135" t="str">
        <f t="shared" ref="B59:C59" si="116">IF(B22="","",B22)</f>
        <v>Средняя</v>
      </c>
      <c r="C59" s="177" t="str">
        <f t="shared" si="116"/>
        <v>Гиперэкстензия на ягодицы</v>
      </c>
      <c r="D59" s="46">
        <f t="shared" si="101"/>
        <v>0.4</v>
      </c>
      <c r="E59" s="133" t="str">
        <f t="shared" si="61"/>
        <v/>
      </c>
      <c r="F59" s="48">
        <f t="shared" si="102"/>
        <v>15</v>
      </c>
      <c r="G59" s="49">
        <v>12.0</v>
      </c>
      <c r="H59" s="49">
        <v>1.0</v>
      </c>
      <c r="I59" s="50">
        <v>0.5</v>
      </c>
      <c r="J59" s="48">
        <f t="shared" si="103"/>
        <v>17</v>
      </c>
      <c r="K59" s="49">
        <v>10.0</v>
      </c>
      <c r="L59" s="49">
        <v>3.0</v>
      </c>
      <c r="M59" s="50">
        <v>0.55</v>
      </c>
      <c r="N59" s="48" t="str">
        <f t="shared" si="104"/>
        <v/>
      </c>
      <c r="O59" s="49"/>
      <c r="P59" s="49"/>
      <c r="Q59" s="50">
        <v>0.0</v>
      </c>
      <c r="R59" s="48" t="str">
        <f t="shared" si="105"/>
        <v/>
      </c>
      <c r="S59" s="49"/>
      <c r="T59" s="49"/>
      <c r="U59" s="50">
        <v>0.0</v>
      </c>
      <c r="V59" s="134">
        <f t="shared" si="106"/>
        <v>690</v>
      </c>
      <c r="W59" s="53">
        <f t="shared" si="107"/>
        <v>16.42857143</v>
      </c>
      <c r="X59" s="54">
        <f t="shared" si="108"/>
        <v>0.54</v>
      </c>
      <c r="Y59" s="137">
        <f t="shared" si="109"/>
        <v>30.3</v>
      </c>
      <c r="Z59" s="53" t="str">
        <f t="shared" si="110"/>
        <v>#REF!</v>
      </c>
      <c r="AA59" s="49">
        <f t="shared" si="111"/>
        <v>42</v>
      </c>
      <c r="AB59" s="56">
        <f t="shared" si="112"/>
        <v>5.25</v>
      </c>
      <c r="AC59" s="9"/>
      <c r="AD59" s="9"/>
      <c r="AE59" s="9"/>
      <c r="AF59" s="112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</row>
    <row r="60" ht="15.75" customHeight="1">
      <c r="A60" s="72"/>
      <c r="B60" s="138" t="str">
        <f t="shared" ref="B60:C60" si="117">IF(B23="","",B23)</f>
        <v/>
      </c>
      <c r="C60" s="178" t="str">
        <f t="shared" si="117"/>
        <v>Скручивания (пресс)</v>
      </c>
      <c r="D60" s="75">
        <f>ROUND(IFERROR((D54*(G54*H54+K54*L54+O54*P54+S54*T54)+D55*(G55*H55+K55*L55+O55*P55+S55*T55)+D56*(G56*H56+K56*L56+O56*P56+S56*T56)+D57*(G57*H57+K57*L57+O57*P57+S57*T57)+D58*(G58*H58+K58*L58+O58*P58+S58*T58)+D59*(G59*H59+K59*L59+O59*P59+S59*T59))/((G54*H54+K54*L54+O54*P54+S54*T54)+(G55*H55+K55*L55+O55*P55+S55*T55)+(G56*H56+K56*L56+O56*P56+S56*T56)+(G57*H57+K57*L57+O57*P57+S57*T57)+(G58*H58+K58*L58+O58*P58+S58*T58)+(G59*H59+K59*L59+O59*P59+S59*T59)),0),2)</f>
        <v>0.72</v>
      </c>
      <c r="E60" s="140" t="str">
        <f t="shared" si="61"/>
        <v/>
      </c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125">
        <f>SUM(V54:V59)</f>
        <v>5874</v>
      </c>
      <c r="W60" s="82">
        <f>IFERROR(V60/AA60,0)</f>
        <v>22.85603113</v>
      </c>
      <c r="X60" s="83">
        <f>ROUND(IFERROR(((I54*G54*H54+M54*K54*L54+Q54*O54*P54+U54*S54*T54)+(I55*G55*H55+M55*K55*L55+Q55*O55*P55+U55*S55*T55)+(I56*G56*H56+M56*K56*L56+Q56*O56*P56+U56*S56*T56)+(I57*G57*H57+M57*K57*L57+Q57*O57*P57+U57*S57*T57)+(I58*G58*H58+M58*K58*L58+Q58*O58*P58+U58*S58*T58)+(I59*G59*H59+M59*K59*L59+Q59*O59*P59+U59*S59*T59))/((G54*H54+K54*L54+O54*P54+S54*T54)+(G55*H55+K55*L55+O55*P55+S55*T55)+(G56*H56+K56*L56+O56*P56+S56*T56)+(G57*H57+K57*L57+O57*P57+S57*T57)+(G58*H58+K58*L58+O58*P58+S58*T58)+(G59*H59+K59*L59+O59*P59+S59*T59)),0),3)</f>
        <v>0.499</v>
      </c>
      <c r="Y60" s="84"/>
      <c r="Z60" s="82" t="str">
        <f t="shared" ref="Z60:AA60" si="118">SUM(Z54:Z59)</f>
        <v>#REF!</v>
      </c>
      <c r="AA60" s="85">
        <f t="shared" si="118"/>
        <v>257</v>
      </c>
      <c r="AB60" s="86">
        <f>IF(SUM(AB54:AB59)=0,TIME(,0,),TIME(,SUM(AB54:AB59)+30,))</f>
        <v>0.06041666667</v>
      </c>
      <c r="AC60" s="9"/>
      <c r="AD60" s="9"/>
      <c r="AE60" s="9"/>
      <c r="AF60" s="112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ht="15.75" hidden="1" customHeight="1">
      <c r="A61" s="88" t="s">
        <v>44</v>
      </c>
      <c r="B61" s="89" t="str">
        <f t="shared" ref="B61:C61" si="119">IF(B24="","",B24)</f>
        <v/>
      </c>
      <c r="C61" s="141" t="str">
        <f t="shared" si="119"/>
        <v/>
      </c>
      <c r="D61" s="29" t="str">
        <f t="shared" ref="D61:D66" si="121">D24</f>
        <v/>
      </c>
      <c r="E61" s="91" t="str">
        <f t="shared" si="61"/>
        <v/>
      </c>
      <c r="F61" s="92"/>
      <c r="G61" s="93"/>
      <c r="H61" s="93"/>
      <c r="I61" s="94" t="str">
        <f t="shared" ref="I61:I66" si="122">IFERROR(ROUND(F61/$Y61,2),)</f>
        <v/>
      </c>
      <c r="J61" s="92"/>
      <c r="K61" s="93"/>
      <c r="L61" s="93"/>
      <c r="M61" s="94" t="str">
        <f t="shared" ref="M61:M66" si="123">IFERROR(ROUND(J61/$Y61,2),)</f>
        <v/>
      </c>
      <c r="N61" s="92"/>
      <c r="O61" s="93"/>
      <c r="P61" s="93"/>
      <c r="Q61" s="94" t="str">
        <f t="shared" ref="Q61:Q66" si="124">IFERROR(ROUND(N61/$Y61,2),)</f>
        <v/>
      </c>
      <c r="R61" s="92"/>
      <c r="S61" s="93"/>
      <c r="T61" s="93"/>
      <c r="U61" s="94" t="str">
        <f t="shared" ref="U61:U66" si="125">IFERROR(ROUND(R61/$Y61,2),)</f>
        <v/>
      </c>
      <c r="V61" s="95">
        <f t="shared" ref="V61:V66" si="126">(IF(ISNUMBER(F61),F61,1)*G61*H61+IF(ISNUMBER(J61),J61,1)*K61*L61+IF(ISNUMBER(N61),N61,1)*O61*P61+IF(ISNUMBER(R61),R61,1)*S61*T61)*IF(ISNUMBER(E61),E61,1)</f>
        <v>0</v>
      </c>
      <c r="W61" s="96">
        <f t="shared" ref="W61:W66" si="127">IFERROR((IF(ISNUMBER(F61),F61,1)*G61*H61+IF(ISNUMBER(J61),J61,1)*K61*L61+IF(ISNUMBER(N61),N61,1)*O61*P61+IF(ISNUMBER(R61),R61,1)*S61*T61)*IF(ISNUMBER(E61),E61,1)/(G61*H61+K61*L61+O61*P61+S61*T61),0)</f>
        <v>0</v>
      </c>
      <c r="X61" s="97">
        <f t="shared" ref="X61:X66" si="128">ROUND(IFERROR((W61/(Y61*IF(ISNUMBER(E61),E61,1))),0),2)</f>
        <v>0</v>
      </c>
      <c r="Y61" s="37" t="str">
        <f t="shared" ref="Y61:Y66" si="129">IF(ISNUMBER(Y24), Y24+(Y24*$Y$38),"")</f>
        <v/>
      </c>
      <c r="Z61" s="96">
        <f t="shared" ref="Z61:Z66" si="130">(IF(I61&lt;30%,0,IF(I61&lt;35%,F61*G61*H61*F!$B$33,IF(I61&lt;40%,F61*G61*H61*F!$B$38,IF(I61&lt;45%,F61*G61*H61*F!$B$43,IF(I61&lt;50%,F61*G61*H61*F!$B$48,IF(I61=50%,F61*G61*H61*F!$B$50,IF(I61=51%,F61*G61*H61*F!$B$51,IF(I61=52%,F61*G61*H61*F!$B$52,IF(I61=53%,F61*G61*H61*F!$B$53,IF(I61=54%,F61*G61*H61*F!$B$54,IF(I61=55%,F61*G61*H61*F!$B$55,IF(I61=56%,F61*G61*H61*F!$B$56,IF(I61=57%,F61*G61*H61*F!$B$57,IF(I61=58%,F61*G61*H61*F!$B$58,IF(I61=59%,F61*G61*H61*F!$B$59,IF(I61=60%,F61*G61*H61*F!$B$60,IF(I61=61%,F61*G61*H61*F!$B$61,IF(I61=62%,F61*G61*H61*F!$B$62,IF(I61=63%,F61*G61*H61*F!$B$63,IF(I61=64%,F61*G61*H61*F!$B$64,IF(I61=65%,F61*G61*H61*F!$B$65,IF(I61=66%,F61*G61*H61*F!$B$66,IF(I61=67%,F61*G61*H61*F!$B$67,IF(I61=68%,F61*G61*H61*F!$B$68,IF(I61=69%,F61*G61*H61*F!$B$69,IF(I61=70%,F61*G61*H61*F!$B$70,IF(I61=71%,F61*G61*H61*F!$B$71,IF(I61=72%,F61*G61*H61*F!$B$72,IF(I61=73%,F61*G61*H61*F!$B$73,IF(I61=74%,F61*G61*H61*F!$B$74,IF(I61=75%,F61*G61*H61*F!$B$75,IF(I61=76%,F61*G61*H61*F!$B$76,IF(I61=77%,F61*G61*H61*F!$B$77,IF(I61=78%,F61*G61*H61*F!$B$78,IF(I61=79%,F61*G61*H61*F!$B$79,IF(I61=80%,F61*G61*H61*F!$B$80,IF(I61=81%,F61*G61*H61*F!$B$81,IF(I61=82%,F61*G61*H61*F!$B$82,IF(I61=83%,F61*G61*H61*F!$B$83,IF(I61=84%,F61*G61*H61*F!$B$84,IF(I61=85%,F61*G61*H61*F!$B$85,IF(I61=86%,F61*G61*H61*F!$B$86,IF(I61=87%,F61*G61*H61*F!$B$87,IF(I61=88%,F61*G61*H61*F!$B$88,IF(I61=89%,F61*G61*H61*F!$B$89,IF(I61=90%,F61*G61*H61*F!$B$90,IF(I61=91%,F61*G61*H61*F!$B$91,IF(I61=92%,F61*G61*H61*F!$B$92,IF(I61=93%,F61*G61*H61*F!$B$93,IF(I61=94%,F61*G61*H61*F!$B$94,IF(I61=95%,F61*G61*H61*F!$B$95,IF(I61=96%,F61*G61*H61*F!$B$96,IF(I61=97%,F61*G61*H61*F!$B$97,IF(I61=98%,F61*G61*H61*F!$B$98,IF(I61=99%,F61*G61*H61*F!$B$99,IF(I61&gt;99%,F61*G61*H61*F!$B$100,))))))))))))))))))))))))))))))))))))))))))))))))))))))))+IF(M61&lt;30%,0,IF(M61&lt;35%,J61*K61*L61*F!$B$33,IF(M61&lt;40%,J61*K61*L61*F!$B$38,IF(M61&lt;45%,J61*K61*L61*F!$B$43,IF(M61&lt;50%,J61*K61*L61*F!$B$48,IF(M61=50%,J61*K61*L61*F!$B$50,IF(M61=51%,J61*K61*L61*F!$B$51,IF(M61=52%,J61*K61*L61*F!$B$52,IF(M61=53%,J61*K61*L61*F!$B$53,IF(M61=54%,J61*K61*L61*F!$B$54,IF(M61=55%,J61*K61*L61*F!$B$55,IF(M61=56%,J61*K61*L61*F!$B$56,IF(M61=57%,J61*K61*L61*F!$B$57,IF(M61=58%,J61*K61*L61*F!$B$58,IF(M61=59%,J61*K61*L61*F!$B$59,IF(M61=60%,J61*K61*L61*F!$B$60,IF(M61=61%,J61*K61*L61*F!$B$61,IF(M61=62%,J61*K61*L61*F!$B$62,IF(M61=63%,J61*K61*L61*F!$B$63,IF(M61=64%,J61*K61*L61*F!$B$64,IF(M61=65%,J61*K61*L61*F!$B$65,IF(M61=66%,J61*K61*L61*F!$B$66,IF(M61=67%,J61*K61*L61*F!$B$67,IF(M61=68%,J61*K61*L61*F!$B$68,IF(M61=69%,J61*K61*L61*F!$B$69,IF(M61=70%,J61*K61*L61*F!$B$70,IF(M61=71%,J61*K61*L61*F!$B$71,IF(M61=72%,J61*K61*L61*F!$B$72,IF(M61=73%,J61*K61*L61*F!$B$73,IF(M61=74%,J61*K61*L61*F!$B$74,IF(M61=75%,J61*K61*L61*F!$B$75,IF(M61=76%,J61*K61*L61*F!$B$76,IF(M61=77%,J61*K61*L61*F!$B$77,IF(M61=78%,J61*K61*L61*F!$B$78,IF(M61=79%,J61*K61*L61*F!$B$79,IF(M61=80%,J61*K61*L61*F!$B$80,IF(M61=81%,J61*K61*L61*F!$B$81,IF(M61=82%,J61*K61*L61*F!$B$82,IF(M61=83%,J61*K61*L61*F!$B$83,IF(M61=84%,J61*K61*L61*F!$B$84,IF(M61=85%,J61*K61*L61*F!$B$85,IF(M61=86%,J61*K61*L61*F!$B$86,IF(M61=87%,J61*K61*L61*F!$B$87,IF(M61=88%,J61*K61*L61*F!$B$88,IF(M61=89%,J61*K61*L61*F!$B$89,IF(M61=90%,J61*K61*L61*F!$B$90,IF(M61=91%,J61*K61*L61*F!$B$91,IF(M61=92%,J61*K61*L61*F!$B$92,IF(M61=93%,J61*K61*L61*F!$B$93,IF(M61=94%,J61*K61*L61*F!$B$94,IF(M61=95%,J61*K61*L61*F!$B$95,IF(M61=96%,J61*K61*L61*F!$B$96,IF(M61=97%,J61*K61*L61*F!$B$97,IF(M61=98%,J61*K61*L61*F!$B$98,IF(M61=99%,J61*K61*L61*F!$B$99,IF(M61&gt;99%,J61*K61*L61*F!$B$100,))))))))))))))))))))))))))))))))))))))))))))))))))))))))+IF(Q61&lt;30%,0,IF(Q61&lt;35%,N61*O61*P61*F!$B$33,IF(Q61&lt;40%,N61*O61*P61*F!$B$38,IF(Q61&lt;45%,N61*O61*P61*F!$B$43,IF(Q61&lt;50%,N61*O61*P61*F!$B$48,IF(Q61=50%,N61*O61*P61*F!$B$50,IF(Q61=51%,N61*O61*P61*F!$B$51,IF(Q61=52%,N61*O61*P61*F!$B$52,IF(Q61=53%,N61*O61*P61*F!$B$53,IF(Q61=54%,N61*O61*P61*F!$B$54,IF(Q61=55%,N61*O61*P61*F!$B$55,IF(Q61=56%,N61*O61*P61*F!$B$56,IF(Q61=57%,N61*O61*P61*F!$B$57,IF(Q61=58%,N61*O61*P61*F!$B$58,IF(Q61=59%,N61*O61*P61*F!$B$59,IF(Q61=60%,N61*O61*P61*F!$B$60,IF(Q61=61%,N61*O61*P61*F!$B$61,IF(Q61=62%,N61*O61*P61*F!$B$62,IF(Q61=63%,N61*O61*P61*F!$B$63,IF(Q61=64%,N61*O61*P61*F!$B$64,IF(Q61=65%,N61*O61*P61*F!$B$65,IF(Q61=66%,N61*O61*P61*F!$B$66,IF(Q61=67%,N61*O61*P61*F!$B$67,IF(Q61=68%,N61*O61*P61*F!$B$68,IF(Q61=69%,N61*O61*P61*F!$B$69,IF(Q61=70%,N61*O61*P61*F!$B$70,IF(Q61=71%,N61*O61*P61*F!$B$71,IF(Q61=72%,N61*O61*P61*F!$B$72,IF(Q61=73%,N61*O61*P61*F!$B$73,IF(Q61=74%,N61*O61*P61*F!$B$74,IF(Q61=75%,N61*O61*P61*F!$B$75,IF(Q61=76%,N61*O61*P61*F!$B$76,IF(Q61=77%,N61*O61*P61*F!$B$77,IF(Q61=78%,N61*O61*P61*F!$B$78,IF(Q61=79%,N61*O61*P61*F!$B$79,IF(Q61=80%,N61*O61*P61*F!$B$80,IF(Q61=81%,N61*O61*P61*F!$B$81,IF(Q61=82%,N61*O61*P61*F!$B$82,IF(Q61=83%,N61*O61*P61*F!$B$83,IF(Q61=84%,N61*O61*P61*F!$B$84,IF(Q61=85%,N61*O61*P61*F!$B$85,IF(Q61=86%,N61*O61*P61*F!$B$86,IF(Q61=87%,N61*O61*P61*F!$B$87,IF(Q61=88%,N61*O61*P61*F!$B$88,IF(Q61=89%,N61*O61*P61*F!$B$89,IF(Q61=90%,N61*O61*P61*F!$B$90,IF(Q61=91%,N61*O61*P61*F!$B$91,IF(Q61=92%,N61*O61*P61*F!$B$92,IF(Q61=93%,N61*O61*P61*F!$B$93,IF(Q61=94%,N61*O61*P61*F!$B$94,IF(Q61=95%,N61*O61*P61*F!$B$95,IF(Q61=96%,N61*O61*P61*F!$B$96,IF(Q61=97%,N61*O61*P61*F!$B$97,IF(Q61=98%,N61*O61*P61*F!$B$98,IF(Q61=99%,N61*O61*P61*F!$B$99,IF(Q61&gt;99%,N61*O61*P61*F!$B$100,))))))))))))))))))))))))))))))))))))))))))))))))))))))))+IF(U61&lt;30%,0,IF(U61&lt;35%,R61*S61*T61*F!$B$33,IF(U61&lt;40%,R61*S61*T61*F!$B$38,IF(U61&lt;45%,R61*S61*T61*F!$B$43,IF(U61&lt;50%,R61*S61*T61*F!$B$48,IF(U61=50%,R61*S61*T61*F!$B$50,IF(U61=51%,R61*S61*T61*F!$B$51,IF(U61=52%,R61*S61*T61*F!$B$52,IF(U61=53%,R61*S61*T61*F!$B$53,IF(U61=54%,R61*S61*T61*F!$B$54,IF(U61=55%,R61*S61*T61*F!$B$55,IF(U61=56%,R61*S61*T61*F!$B$56,IF(U61=57%,R61*S61*T61*F!$B$57,IF(U61=58%,R61*S61*T61*F!$B$58,IF(U61=59%,R61*S61*T61*F!$B$59,IF(U61=60%,R61*S61*T61*F!$B$60,IF(U61=61%,R61*S61*T61*F!$B$61,IF(U61=62%,R61*S61*T61*F!$B$62,IF(U61=63%,R61*S61*T61*F!$B$63,IF(U61=64%,R61*S61*T61*F!$B$64,IF(U61=65%,R61*S61*T61*F!$B$65,IF(U61=66%,R61*S61*T61*F!$B$66,IF(U61=67%,R61*S61*T61*F!$B$67,IF(U61=68%,R61*S61*T61*F!$B$68,IF(U61=69%,R61*S61*T61*F!$B$69,IF(U61=70%,R61*S61*T61*F!$B$70,IF(U61=71%,R61*S61*T61*F!$B$71,IF(U61=72%,R61*S61*T61*F!$B$72,IF(U61=73%,R61*S61*T61*F!$B$73,IF(U61=74%,R61*S61*T61*F!$B$74,IF(U61=75%,R61*S61*T61*F!$B$75,IF(U61=76%,R61*S61*T61*F!$B$76,IF(U61=77%,R61*S61*T61*F!$B$77,IF(U61=78%,R61*S61*T61*F!$B$78,IF(U61=79%,R61*S61*T61*F!$B$79,IF(U61=80%,R61*S61*T61*F!$B$80,IF(U61=81%,R61*S61*T61*F!$B$81,IF(U61=82%,R61*S61*T61*F!$B$82,IF(U61=83%,R61*S61*T61*F!$B$83,IF(U61=84%,R61*S61*T61*F!$B$84,IF(U61=85%,R61*S61*T61*F!$B$85,IF(U61=86%,R61*S61*T61*F!$B$86,IF(U61=87%,R61*S61*T61*F!$B$87,IF(U61=88%,R61*S61*T61*F!$B$88,IF(U61=89%,R61*S61*T61*F!$B$89,IF(U61=90%,R61*S61*T61*F!$B$90,IF(U61=91%,R61*S61*T61*F!$B$91,IF(U61=92%,R61*S61*T61*F!$B$92,IF(U61=93%,R61*S61*T61*F!$B$93,IF(U61=94%,R61*S61*T61*F!$B$94,IF(U61=95%,R61*S61*T61*F!$B$95,IF(U61=96%,R61*S61*T61*F!$B$96,IF(U61=97%,R61*S61*T61*F!$B$97,IF(U61=98%,R61*S61*T61*F!$B$98,IF(U61=99%,R61*S61*T61*F!$B$99,IF(U61&gt;99%,R61*S61*T61*F!$B$100)))))))))))))))))))))))))))))))))))))))))))))))))))))))))*IF(ISNUMBER(E61),E61,1)*IF(ISNUMBER(D61),D61,1)</f>
        <v>0</v>
      </c>
      <c r="AA61" s="93">
        <f t="shared" ref="AA61:AA66" si="131">G61*H61+K61*L61+O61*P61+S61*T61</f>
        <v>0</v>
      </c>
      <c r="AB61" s="99">
        <f t="shared" ref="AB61:AB66" si="132">(H61*(IF(I61&lt;45%,0.5,IF(I61&lt;55%,0.8,IF(I61&lt;65%,0.9,IF(I61&lt;75%,1,IF(I61&lt;85%,1.1,1.2))))))+L61*(IF(M61&lt;45%,0.5,IF(M61&lt;55%,0.8,IF(M61&lt;65%,0.9,IF(M61&lt;75%,1,IF(M61&lt;85%,1.1,1.2))))))+P61*(IF(Q61&lt;45%,0.5,IF(Q61&lt;55%,0.8,IF(Q61&lt;65%,0.9,IF(Q61&lt;75%,1,IF(Q61&lt;85%,1.1,1.2))))))+T61*(IF(U61&lt;45%,0.5,IF(U61&lt;55%,0.8,IF(U61&lt;65%,0.9,IF(U61&lt;75%,1,IF(U61&lt;85%,1.1,1.2)))))))*IF(D61&gt;=0.8,6,IF(D61&lt;=0.4,1.5,3))</f>
        <v>0</v>
      </c>
      <c r="AC61" s="9"/>
      <c r="AD61" s="9"/>
      <c r="AE61" s="9"/>
      <c r="AF61" s="112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</row>
    <row r="62" ht="15.0" hidden="1" customHeight="1">
      <c r="A62" s="142">
        <f>A55+1</f>
        <v>42343</v>
      </c>
      <c r="B62" s="101" t="str">
        <f t="shared" ref="B62:C62" si="120">IF(B25="","",B25)</f>
        <v/>
      </c>
      <c r="C62" s="143" t="str">
        <f t="shared" si="120"/>
        <v/>
      </c>
      <c r="D62" s="46" t="str">
        <f t="shared" si="121"/>
        <v/>
      </c>
      <c r="E62" s="144" t="str">
        <f t="shared" si="61"/>
        <v/>
      </c>
      <c r="F62" s="59"/>
      <c r="G62" s="60"/>
      <c r="H62" s="60"/>
      <c r="I62" s="61" t="str">
        <f t="shared" si="122"/>
        <v/>
      </c>
      <c r="J62" s="59"/>
      <c r="K62" s="60"/>
      <c r="L62" s="60"/>
      <c r="M62" s="61" t="str">
        <f t="shared" si="123"/>
        <v/>
      </c>
      <c r="N62" s="59"/>
      <c r="O62" s="60"/>
      <c r="P62" s="60"/>
      <c r="Q62" s="61" t="str">
        <f t="shared" si="124"/>
        <v/>
      </c>
      <c r="R62" s="59"/>
      <c r="S62" s="60"/>
      <c r="T62" s="60"/>
      <c r="U62" s="61" t="str">
        <f t="shared" si="125"/>
        <v/>
      </c>
      <c r="V62" s="104">
        <f t="shared" si="126"/>
        <v>0</v>
      </c>
      <c r="W62" s="64">
        <f t="shared" si="127"/>
        <v>0</v>
      </c>
      <c r="X62" s="65">
        <f t="shared" si="128"/>
        <v>0</v>
      </c>
      <c r="Y62" s="137" t="str">
        <f t="shared" si="129"/>
        <v/>
      </c>
      <c r="Z62" s="64">
        <f t="shared" si="130"/>
        <v>0</v>
      </c>
      <c r="AA62" s="60">
        <f t="shared" si="131"/>
        <v>0</v>
      </c>
      <c r="AB62" s="66">
        <f t="shared" si="132"/>
        <v>0</v>
      </c>
      <c r="AC62" s="9"/>
      <c r="AD62" s="9"/>
      <c r="AE62" s="9"/>
      <c r="AF62" s="112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ht="15.75" hidden="1" customHeight="1">
      <c r="A63" s="57"/>
      <c r="B63" s="101" t="str">
        <f t="shared" ref="B63:C63" si="133">IF(B26="","",B26)</f>
        <v/>
      </c>
      <c r="C63" s="143" t="str">
        <f t="shared" si="133"/>
        <v/>
      </c>
      <c r="D63" s="46" t="str">
        <f t="shared" si="121"/>
        <v/>
      </c>
      <c r="E63" s="144" t="str">
        <f t="shared" si="61"/>
        <v/>
      </c>
      <c r="F63" s="105"/>
      <c r="G63" s="106"/>
      <c r="H63" s="106"/>
      <c r="I63" s="107" t="str">
        <f t="shared" si="122"/>
        <v/>
      </c>
      <c r="J63" s="105"/>
      <c r="K63" s="106"/>
      <c r="L63" s="106"/>
      <c r="M63" s="107" t="str">
        <f t="shared" si="123"/>
        <v/>
      </c>
      <c r="N63" s="105"/>
      <c r="O63" s="106"/>
      <c r="P63" s="106"/>
      <c r="Q63" s="107" t="str">
        <f t="shared" si="124"/>
        <v/>
      </c>
      <c r="R63" s="105"/>
      <c r="S63" s="106"/>
      <c r="T63" s="106"/>
      <c r="U63" s="107" t="str">
        <f t="shared" si="125"/>
        <v/>
      </c>
      <c r="V63" s="108">
        <f t="shared" si="126"/>
        <v>0</v>
      </c>
      <c r="W63" s="109">
        <f t="shared" si="127"/>
        <v>0</v>
      </c>
      <c r="X63" s="110">
        <f t="shared" si="128"/>
        <v>0</v>
      </c>
      <c r="Y63" s="137" t="str">
        <f t="shared" si="129"/>
        <v/>
      </c>
      <c r="Z63" s="109">
        <f t="shared" si="130"/>
        <v>0</v>
      </c>
      <c r="AA63" s="106">
        <f t="shared" si="131"/>
        <v>0</v>
      </c>
      <c r="AB63" s="111">
        <f t="shared" si="132"/>
        <v>0</v>
      </c>
      <c r="AC63" s="9"/>
      <c r="AD63" s="9"/>
      <c r="AE63" s="9"/>
      <c r="AF63" s="112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ht="15.75" hidden="1" customHeight="1">
      <c r="A64" s="57"/>
      <c r="B64" s="101" t="str">
        <f t="shared" ref="B64:C64" si="134">IF(B27="","",B27)</f>
        <v/>
      </c>
      <c r="C64" s="143" t="str">
        <f t="shared" si="134"/>
        <v/>
      </c>
      <c r="D64" s="46" t="str">
        <f t="shared" si="121"/>
        <v/>
      </c>
      <c r="E64" s="144" t="str">
        <f t="shared" si="61"/>
        <v/>
      </c>
      <c r="F64" s="59"/>
      <c r="G64" s="60"/>
      <c r="H64" s="60"/>
      <c r="I64" s="61" t="str">
        <f t="shared" si="122"/>
        <v/>
      </c>
      <c r="J64" s="59"/>
      <c r="K64" s="60"/>
      <c r="L64" s="60"/>
      <c r="M64" s="61" t="str">
        <f t="shared" si="123"/>
        <v/>
      </c>
      <c r="N64" s="59"/>
      <c r="O64" s="60"/>
      <c r="P64" s="60"/>
      <c r="Q64" s="61" t="str">
        <f t="shared" si="124"/>
        <v/>
      </c>
      <c r="R64" s="59"/>
      <c r="S64" s="60"/>
      <c r="T64" s="60"/>
      <c r="U64" s="61" t="str">
        <f t="shared" si="125"/>
        <v/>
      </c>
      <c r="V64" s="104">
        <f t="shared" si="126"/>
        <v>0</v>
      </c>
      <c r="W64" s="64">
        <f t="shared" si="127"/>
        <v>0</v>
      </c>
      <c r="X64" s="65">
        <f t="shared" si="128"/>
        <v>0</v>
      </c>
      <c r="Y64" s="137" t="str">
        <f t="shared" si="129"/>
        <v/>
      </c>
      <c r="Z64" s="64">
        <f t="shared" si="130"/>
        <v>0</v>
      </c>
      <c r="AA64" s="60">
        <f t="shared" si="131"/>
        <v>0</v>
      </c>
      <c r="AB64" s="66">
        <f t="shared" si="132"/>
        <v>0</v>
      </c>
      <c r="AC64" s="9"/>
      <c r="AD64" s="9"/>
      <c r="AE64" s="9"/>
      <c r="AF64" s="112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ht="15.75" hidden="1" customHeight="1">
      <c r="A65" s="57"/>
      <c r="B65" s="101" t="str">
        <f t="shared" ref="B65:C65" si="135">IF(B28="","",B28)</f>
        <v/>
      </c>
      <c r="C65" s="143" t="str">
        <f t="shared" si="135"/>
        <v/>
      </c>
      <c r="D65" s="46" t="str">
        <f t="shared" si="121"/>
        <v/>
      </c>
      <c r="E65" s="144" t="str">
        <f t="shared" si="61"/>
        <v/>
      </c>
      <c r="F65" s="105"/>
      <c r="G65" s="106"/>
      <c r="H65" s="106"/>
      <c r="I65" s="107" t="str">
        <f t="shared" si="122"/>
        <v/>
      </c>
      <c r="J65" s="105"/>
      <c r="K65" s="106"/>
      <c r="L65" s="106"/>
      <c r="M65" s="107" t="str">
        <f t="shared" si="123"/>
        <v/>
      </c>
      <c r="N65" s="105"/>
      <c r="O65" s="106"/>
      <c r="P65" s="106"/>
      <c r="Q65" s="107" t="str">
        <f t="shared" si="124"/>
        <v/>
      </c>
      <c r="R65" s="105"/>
      <c r="S65" s="106"/>
      <c r="T65" s="106"/>
      <c r="U65" s="107" t="str">
        <f t="shared" si="125"/>
        <v/>
      </c>
      <c r="V65" s="108">
        <f t="shared" si="126"/>
        <v>0</v>
      </c>
      <c r="W65" s="109">
        <f t="shared" si="127"/>
        <v>0</v>
      </c>
      <c r="X65" s="117">
        <f t="shared" si="128"/>
        <v>0</v>
      </c>
      <c r="Y65" s="137" t="str">
        <f t="shared" si="129"/>
        <v/>
      </c>
      <c r="Z65" s="109">
        <f t="shared" si="130"/>
        <v>0</v>
      </c>
      <c r="AA65" s="106">
        <f t="shared" si="131"/>
        <v>0</v>
      </c>
      <c r="AB65" s="111">
        <f t="shared" si="132"/>
        <v>0</v>
      </c>
      <c r="AC65" s="9"/>
      <c r="AD65" s="9"/>
      <c r="AE65" s="9"/>
      <c r="AF65" s="112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ht="15.75" hidden="1" customHeight="1">
      <c r="A66" s="57"/>
      <c r="B66" s="101" t="str">
        <f t="shared" ref="B66:C66" si="136">IF(B29="","",B29)</f>
        <v/>
      </c>
      <c r="C66" s="143" t="str">
        <f t="shared" si="136"/>
        <v/>
      </c>
      <c r="D66" s="46" t="str">
        <f t="shared" si="121"/>
        <v/>
      </c>
      <c r="E66" s="144" t="str">
        <f t="shared" si="61"/>
        <v/>
      </c>
      <c r="F66" s="59"/>
      <c r="G66" s="60"/>
      <c r="H66" s="60"/>
      <c r="I66" s="61" t="str">
        <f t="shared" si="122"/>
        <v/>
      </c>
      <c r="J66" s="59"/>
      <c r="K66" s="60"/>
      <c r="L66" s="60"/>
      <c r="M66" s="61" t="str">
        <f t="shared" si="123"/>
        <v/>
      </c>
      <c r="N66" s="59"/>
      <c r="O66" s="60"/>
      <c r="P66" s="60"/>
      <c r="Q66" s="61" t="str">
        <f t="shared" si="124"/>
        <v/>
      </c>
      <c r="R66" s="59"/>
      <c r="S66" s="60"/>
      <c r="T66" s="60"/>
      <c r="U66" s="61" t="str">
        <f t="shared" si="125"/>
        <v/>
      </c>
      <c r="V66" s="104">
        <f t="shared" si="126"/>
        <v>0</v>
      </c>
      <c r="W66" s="64">
        <f t="shared" si="127"/>
        <v>0</v>
      </c>
      <c r="X66" s="65">
        <f t="shared" si="128"/>
        <v>0</v>
      </c>
      <c r="Y66" s="137" t="str">
        <f t="shared" si="129"/>
        <v/>
      </c>
      <c r="Z66" s="64">
        <f t="shared" si="130"/>
        <v>0</v>
      </c>
      <c r="AA66" s="60">
        <f t="shared" si="131"/>
        <v>0</v>
      </c>
      <c r="AB66" s="66">
        <f t="shared" si="132"/>
        <v>0</v>
      </c>
      <c r="AC66" s="9"/>
      <c r="AD66" s="9"/>
      <c r="AE66" s="9"/>
      <c r="AF66" s="112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ht="15.75" hidden="1" customHeight="1">
      <c r="A67" s="72"/>
      <c r="B67" s="119" t="str">
        <f t="shared" ref="B67:C67" si="137">IF(B30="","",B30)</f>
        <v/>
      </c>
      <c r="C67" s="146" t="str">
        <f t="shared" si="137"/>
        <v/>
      </c>
      <c r="D67" s="75">
        <f>ROUND(IFERROR((D61*(G61*H61+K61*L61+O61*P61+S61*T61)+D62*(G62*H62+K62*L62+O62*P62+S62*T62)+D63*(G63*H63+K63*L63+O63*P63+S63*T63)+D64*(G64*H64+K64*L64+O64*P64+S64*T64)+D65*(G65*H65+K65*L65+O65*P65+S65*T65)+D66*(G66*H66+K66*L66+O66*P66+S66*T66))/((G61*H61+K61*L61+O61*P61+S61*T61)+(G62*H62+K62*L62+O62*P62+S62*T62)+(G63*H63+K63*L63+O63*P63+S63*T63)+(G64*H64+K64*L64+O64*P64+S64*T64)+(G65*H65+K65*L65+O65*P65+S65*T65)+(G66*H66+K66*L66+O66*P66+S66*T66)),0),2)</f>
        <v>0</v>
      </c>
      <c r="E67" s="147" t="str">
        <f t="shared" si="61"/>
        <v/>
      </c>
      <c r="F67" s="122"/>
      <c r="G67" s="123"/>
      <c r="H67" s="123"/>
      <c r="I67" s="124"/>
      <c r="J67" s="122"/>
      <c r="K67" s="123"/>
      <c r="L67" s="123"/>
      <c r="M67" s="124"/>
      <c r="N67" s="122"/>
      <c r="O67" s="123"/>
      <c r="P67" s="123"/>
      <c r="Q67" s="124"/>
      <c r="R67" s="122"/>
      <c r="S67" s="123"/>
      <c r="T67" s="123"/>
      <c r="U67" s="124"/>
      <c r="V67" s="125">
        <f>SUM(V61:V66)</f>
        <v>0</v>
      </c>
      <c r="W67" s="82">
        <f>IFERROR(V67/AA67,0)</f>
        <v>0</v>
      </c>
      <c r="X67" s="83">
        <f>ROUND(IFERROR(((I61*G61*H61+M61*K61*L61+Q61*O61*P61+U61*S61*T61)+(I62*G62*H62+M62*K62*L62+Q62*O62*P62+U62*S62*T62)+(I63*G63*H63+M63*K63*L63+Q63*O63*P63+U63*S63*T63)+(I64*G64*H64+M64*K64*L64+Q64*O64*P64+U64*S64*T64)+(I65*G65*H65+M65*K65*L65+Q65*O65*P65+U65*S65*T65)+(I66*G66*H66+M66*K66*L66+Q66*O66*P66+U66*S66*T66))/((G61*H61+K61*L61+O61*P61+S61*T61)+(G62*H62+K62*L62+O62*P62+S62*T62)+(G63*H63+K63*L63+O63*P63+S63*T63)+(G64*H64+K64*L64+O64*P64+S64*T64)+(G65*H65+K65*L65+O65*P65+S65*T65)+(G66*H66+K66*L66+O66*P66+S66*T66)),0),3)</f>
        <v>0</v>
      </c>
      <c r="Y67" s="84"/>
      <c r="Z67" s="82">
        <f t="shared" ref="Z67:AA67" si="138">SUM(Z61:Z66)</f>
        <v>0</v>
      </c>
      <c r="AA67" s="85">
        <f t="shared" si="138"/>
        <v>0</v>
      </c>
      <c r="AB67" s="86">
        <f>IF(SUM(AB61:AB66)=0,TIME(,0,),TIME(,SUM(AB61:AB66)+30,))</f>
        <v>0</v>
      </c>
      <c r="AC67" s="9"/>
      <c r="AD67" s="9"/>
      <c r="AE67" s="9"/>
      <c r="AF67" s="112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ht="15.75" hidden="1" customHeight="1">
      <c r="A68" s="126" t="s">
        <v>36</v>
      </c>
      <c r="B68" s="27" t="str">
        <f t="shared" ref="B68:C68" si="139">IF(B31="","",B31)</f>
        <v/>
      </c>
      <c r="C68" s="148" t="str">
        <f t="shared" si="139"/>
        <v/>
      </c>
      <c r="D68" s="29" t="str">
        <f t="shared" ref="D68:D73" si="141">D31</f>
        <v/>
      </c>
      <c r="E68" s="30" t="str">
        <f t="shared" si="61"/>
        <v/>
      </c>
      <c r="F68" s="31"/>
      <c r="G68" s="32"/>
      <c r="H68" s="32"/>
      <c r="I68" s="33" t="str">
        <f t="shared" ref="I68:I73" si="142">IFERROR(ROUND(F68/$Y68,2),)</f>
        <v/>
      </c>
      <c r="J68" s="31"/>
      <c r="K68" s="32"/>
      <c r="L68" s="32"/>
      <c r="M68" s="33" t="str">
        <f t="shared" ref="M68:M73" si="143">IFERROR(ROUND(J68/$Y68,2),)</f>
        <v/>
      </c>
      <c r="N68" s="31"/>
      <c r="O68" s="32"/>
      <c r="P68" s="32"/>
      <c r="Q68" s="33" t="str">
        <f t="shared" ref="Q68:Q73" si="144">IFERROR(ROUND(N68/$Y68,2),)</f>
        <v/>
      </c>
      <c r="R68" s="31"/>
      <c r="S68" s="32"/>
      <c r="T68" s="32"/>
      <c r="U68" s="33" t="str">
        <f t="shared" ref="U68:U73" si="145">IFERROR(ROUND(R68/$Y68,2),)</f>
        <v/>
      </c>
      <c r="V68" s="130">
        <f t="shared" ref="V68:V73" si="146">(IF(ISNUMBER(F68),F68,1)*G68*H68+IF(ISNUMBER(J68),J68,1)*K68*L68+IF(ISNUMBER(N68),N68,1)*O68*P68+IF(ISNUMBER(R68),R68,1)*S68*T68)*IF(ISNUMBER(E68),E68,1)</f>
        <v>0</v>
      </c>
      <c r="W68" s="36">
        <f t="shared" ref="W68:W73" si="147">IFERROR((IF(ISNUMBER(F68),F68,1)*G68*H68+IF(ISNUMBER(J68),J68,1)*K68*L68+IF(ISNUMBER(N68),N68,1)*O68*P68+IF(ISNUMBER(R68),R68,1)*S68*T68)*IF(ISNUMBER(E68),E68,1)/(G68*H68+K68*L68+O68*P68+S68*T68),0)</f>
        <v>0</v>
      </c>
      <c r="X68" s="34">
        <f t="shared" ref="X68:X73" si="148">ROUND(IFERROR((W68/(Y68*IF(ISNUMBER(E68),E68,1))),0),2)</f>
        <v>0</v>
      </c>
      <c r="Y68" s="37" t="str">
        <f t="shared" ref="Y68:Y73" si="149">IF(ISNUMBER(Y31), Y31+(Y31*$Y$38),"")</f>
        <v/>
      </c>
      <c r="Z68" s="36">
        <f t="shared" ref="Z68:Z73" si="150">(IF(I68&lt;30%,0,IF(I68&lt;35%,F68*G68*H68*F!$B$33,IF(I68&lt;40%,F68*G68*H68*F!$B$38,IF(I68&lt;45%,F68*G68*H68*F!$B$43,IF(I68&lt;50%,F68*G68*H68*F!$B$48,IF(I68=50%,F68*G68*H68*F!$B$50,IF(I68=51%,F68*G68*H68*F!$B$51,IF(I68=52%,F68*G68*H68*F!$B$52,IF(I68=53%,F68*G68*H68*F!$B$53,IF(I68=54%,F68*G68*H68*F!$B$54,IF(I68=55%,F68*G68*H68*F!$B$55,IF(I68=56%,F68*G68*H68*F!$B$56,IF(I68=57%,F68*G68*H68*F!$B$57,IF(I68=58%,F68*G68*H68*F!$B$58,IF(I68=59%,F68*G68*H68*F!$B$59,IF(I68=60%,F68*G68*H68*F!$B$60,IF(I68=61%,F68*G68*H68*F!$B$61,IF(I68=62%,F68*G68*H68*F!$B$62,IF(I68=63%,F68*G68*H68*F!$B$63,IF(I68=64%,F68*G68*H68*F!$B$64,IF(I68=65%,F68*G68*H68*F!$B$65,IF(I68=66%,F68*G68*H68*F!$B$66,IF(I68=67%,F68*G68*H68*F!$B$67,IF(I68=68%,F68*G68*H68*F!$B$68,IF(I68=69%,F68*G68*H68*F!$B$69,IF(I68=70%,F68*G68*H68*F!$B$70,IF(I68=71%,F68*G68*H68*F!$B$71,IF(I68=72%,F68*G68*H68*F!$B$72,IF(I68=73%,F68*G68*H68*F!$B$73,IF(I68=74%,F68*G68*H68*F!$B$74,IF(I68=75%,F68*G68*H68*F!$B$75,IF(I68=76%,F68*G68*H68*F!$B$76,IF(I68=77%,F68*G68*H68*F!$B$77,IF(I68=78%,F68*G68*H68*F!$B$78,IF(I68=79%,F68*G68*H68*F!$B$79,IF(I68=80%,F68*G68*H68*F!$B$80,IF(I68=81%,F68*G68*H68*F!$B$81,IF(I68=82%,F68*G68*H68*F!$B$82,IF(I68=83%,F68*G68*H68*F!$B$83,IF(I68=84%,F68*G68*H68*F!$B$84,IF(I68=85%,F68*G68*H68*F!$B$85,IF(I68=86%,F68*G68*H68*F!$B$86,IF(I68=87%,F68*G68*H68*F!$B$87,IF(I68=88%,F68*G68*H68*F!$B$88,IF(I68=89%,F68*G68*H68*F!$B$89,IF(I68=90%,F68*G68*H68*F!$B$90,IF(I68=91%,F68*G68*H68*F!$B$91,IF(I68=92%,F68*G68*H68*F!$B$92,IF(I68=93%,F68*G68*H68*F!$B$93,IF(I68=94%,F68*G68*H68*F!$B$94,IF(I68=95%,F68*G68*H68*F!$B$95,IF(I68=96%,F68*G68*H68*F!$B$96,IF(I68=97%,F68*G68*H68*F!$B$97,IF(I68=98%,F68*G68*H68*F!$B$98,IF(I68=99%,F68*G68*H68*F!$B$99,IF(I68&gt;99%,F68*G68*H68*F!$B$100,))))))))))))))))))))))))))))))))))))))))))))))))))))))))+IF(M68&lt;30%,0,IF(M68&lt;35%,J68*K68*L68*F!$B$33,IF(M68&lt;40%,J68*K68*L68*F!$B$38,IF(M68&lt;45%,J68*K68*L68*F!$B$43,IF(M68&lt;50%,J68*K68*L68*F!$B$48,IF(M68=50%,J68*K68*L68*F!$B$50,IF(M68=51%,J68*K68*L68*F!$B$51,IF(M68=52%,J68*K68*L68*F!$B$52,IF(M68=53%,J68*K68*L68*F!$B$53,IF(M68=54%,J68*K68*L68*F!$B$54,IF(M68=55%,J68*K68*L68*F!$B$55,IF(M68=56%,J68*K68*L68*F!$B$56,IF(M68=57%,J68*K68*L68*F!$B$57,IF(M68=58%,J68*K68*L68*F!$B$58,IF(M68=59%,J68*K68*L68*F!$B$59,IF(M68=60%,J68*K68*L68*F!$B$60,IF(M68=61%,J68*K68*L68*F!$B$61,IF(M68=62%,J68*K68*L68*F!$B$62,IF(M68=63%,J68*K68*L68*F!$B$63,IF(M68=64%,J68*K68*L68*F!$B$64,IF(M68=65%,J68*K68*L68*F!$B$65,IF(M68=66%,J68*K68*L68*F!$B$66,IF(M68=67%,J68*K68*L68*F!$B$67,IF(M68=68%,J68*K68*L68*F!$B$68,IF(M68=69%,J68*K68*L68*F!$B$69,IF(M68=70%,J68*K68*L68*F!$B$70,IF(M68=71%,J68*K68*L68*F!$B$71,IF(M68=72%,J68*K68*L68*F!$B$72,IF(M68=73%,J68*K68*L68*F!$B$73,IF(M68=74%,J68*K68*L68*F!$B$74,IF(M68=75%,J68*K68*L68*F!$B$75,IF(M68=76%,J68*K68*L68*F!$B$76,IF(M68=77%,J68*K68*L68*F!$B$77,IF(M68=78%,J68*K68*L68*F!$B$78,IF(M68=79%,J68*K68*L68*F!$B$79,IF(M68=80%,J68*K68*L68*F!$B$80,IF(M68=81%,J68*K68*L68*F!$B$81,IF(M68=82%,J68*K68*L68*F!$B$82,IF(M68=83%,J68*K68*L68*F!$B$83,IF(M68=84%,J68*K68*L68*F!$B$84,IF(M68=85%,J68*K68*L68*F!$B$85,IF(M68=86%,J68*K68*L68*F!$B$86,IF(M68=87%,J68*K68*L68*F!$B$87,IF(M68=88%,J68*K68*L68*F!$B$88,IF(M68=89%,J68*K68*L68*F!$B$89,IF(M68=90%,J68*K68*L68*F!$B$90,IF(M68=91%,J68*K68*L68*F!$B$91,IF(M68=92%,J68*K68*L68*F!$B$92,IF(M68=93%,J68*K68*L68*F!$B$93,IF(M68=94%,J68*K68*L68*F!$B$94,IF(M68=95%,J68*K68*L68*F!$B$95,IF(M68=96%,J68*K68*L68*F!$B$96,IF(M68=97%,J68*K68*L68*F!$B$97,IF(M68=98%,J68*K68*L68*F!$B$98,IF(M68=99%,J68*K68*L68*F!$B$99,IF(M68&gt;99%,J68*K68*L68*F!$B$100,))))))))))))))))))))))))))))))))))))))))))))))))))))))))+IF(Q68&lt;30%,0,IF(Q68&lt;35%,N68*O68*P68*F!$B$33,IF(Q68&lt;40%,N68*O68*P68*F!$B$38,IF(Q68&lt;45%,N68*O68*P68*F!$B$43,IF(Q68&lt;50%,N68*O68*P68*F!$B$48,IF(Q68=50%,N68*O68*P68*F!$B$50,IF(Q68=51%,N68*O68*P68*F!$B$51,IF(Q68=52%,N68*O68*P68*F!$B$52,IF(Q68=53%,N68*O68*P68*F!$B$53,IF(Q68=54%,N68*O68*P68*F!$B$54,IF(Q68=55%,N68*O68*P68*F!$B$55,IF(Q68=56%,N68*O68*P68*F!$B$56,IF(Q68=57%,N68*O68*P68*F!$B$57,IF(Q68=58%,N68*O68*P68*F!$B$58,IF(Q68=59%,N68*O68*P68*F!$B$59,IF(Q68=60%,N68*O68*P68*F!$B$60,IF(Q68=61%,N68*O68*P68*F!$B$61,IF(Q68=62%,N68*O68*P68*F!$B$62,IF(Q68=63%,N68*O68*P68*F!$B$63,IF(Q68=64%,N68*O68*P68*F!$B$64,IF(Q68=65%,N68*O68*P68*F!$B$65,IF(Q68=66%,N68*O68*P68*F!$B$66,IF(Q68=67%,N68*O68*P68*F!$B$67,IF(Q68=68%,N68*O68*P68*F!$B$68,IF(Q68=69%,N68*O68*P68*F!$B$69,IF(Q68=70%,N68*O68*P68*F!$B$70,IF(Q68=71%,N68*O68*P68*F!$B$71,IF(Q68=72%,N68*O68*P68*F!$B$72,IF(Q68=73%,N68*O68*P68*F!$B$73,IF(Q68=74%,N68*O68*P68*F!$B$74,IF(Q68=75%,N68*O68*P68*F!$B$75,IF(Q68=76%,N68*O68*P68*F!$B$76,IF(Q68=77%,N68*O68*P68*F!$B$77,IF(Q68=78%,N68*O68*P68*F!$B$78,IF(Q68=79%,N68*O68*P68*F!$B$79,IF(Q68=80%,N68*O68*P68*F!$B$80,IF(Q68=81%,N68*O68*P68*F!$B$81,IF(Q68=82%,N68*O68*P68*F!$B$82,IF(Q68=83%,N68*O68*P68*F!$B$83,IF(Q68=84%,N68*O68*P68*F!$B$84,IF(Q68=85%,N68*O68*P68*F!$B$85,IF(Q68=86%,N68*O68*P68*F!$B$86,IF(Q68=87%,N68*O68*P68*F!$B$87,IF(Q68=88%,N68*O68*P68*F!$B$88,IF(Q68=89%,N68*O68*P68*F!$B$89,IF(Q68=90%,N68*O68*P68*F!$B$90,IF(Q68=91%,N68*O68*P68*F!$B$91,IF(Q68=92%,N68*O68*P68*F!$B$92,IF(Q68=93%,N68*O68*P68*F!$B$93,IF(Q68=94%,N68*O68*P68*F!$B$94,IF(Q68=95%,N68*O68*P68*F!$B$95,IF(Q68=96%,N68*O68*P68*F!$B$96,IF(Q68=97%,N68*O68*P68*F!$B$97,IF(Q68=98%,N68*O68*P68*F!$B$98,IF(Q68=99%,N68*O68*P68*F!$B$99,IF(Q68&gt;99%,N68*O68*P68*F!$B$100,))))))))))))))))))))))))))))))))))))))))))))))))))))))))+IF(U68&lt;30%,0,IF(U68&lt;35%,R68*S68*T68*F!$B$33,IF(U68&lt;40%,R68*S68*T68*F!$B$38,IF(U68&lt;45%,R68*S68*T68*F!$B$43,IF(U68&lt;50%,R68*S68*T68*F!$B$48,IF(U68=50%,R68*S68*T68*F!$B$50,IF(U68=51%,R68*S68*T68*F!$B$51,IF(U68=52%,R68*S68*T68*F!$B$52,IF(U68=53%,R68*S68*T68*F!$B$53,IF(U68=54%,R68*S68*T68*F!$B$54,IF(U68=55%,R68*S68*T68*F!$B$55,IF(U68=56%,R68*S68*T68*F!$B$56,IF(U68=57%,R68*S68*T68*F!$B$57,IF(U68=58%,R68*S68*T68*F!$B$58,IF(U68=59%,R68*S68*T68*F!$B$59,IF(U68=60%,R68*S68*T68*F!$B$60,IF(U68=61%,R68*S68*T68*F!$B$61,IF(U68=62%,R68*S68*T68*F!$B$62,IF(U68=63%,R68*S68*T68*F!$B$63,IF(U68=64%,R68*S68*T68*F!$B$64,IF(U68=65%,R68*S68*T68*F!$B$65,IF(U68=66%,R68*S68*T68*F!$B$66,IF(U68=67%,R68*S68*T68*F!$B$67,IF(U68=68%,R68*S68*T68*F!$B$68,IF(U68=69%,R68*S68*T68*F!$B$69,IF(U68=70%,R68*S68*T68*F!$B$70,IF(U68=71%,R68*S68*T68*F!$B$71,IF(U68=72%,R68*S68*T68*F!$B$72,IF(U68=73%,R68*S68*T68*F!$B$73,IF(U68=74%,R68*S68*T68*F!$B$74,IF(U68=75%,R68*S68*T68*F!$B$75,IF(U68=76%,R68*S68*T68*F!$B$76,IF(U68=77%,R68*S68*T68*F!$B$77,IF(U68=78%,R68*S68*T68*F!$B$78,IF(U68=79%,R68*S68*T68*F!$B$79,IF(U68=80%,R68*S68*T68*F!$B$80,IF(U68=81%,R68*S68*T68*F!$B$81,IF(U68=82%,R68*S68*T68*F!$B$82,IF(U68=83%,R68*S68*T68*F!$B$83,IF(U68=84%,R68*S68*T68*F!$B$84,IF(U68=85%,R68*S68*T68*F!$B$85,IF(U68=86%,R68*S68*T68*F!$B$86,IF(U68=87%,R68*S68*T68*F!$B$87,IF(U68=88%,R68*S68*T68*F!$B$88,IF(U68=89%,R68*S68*T68*F!$B$89,IF(U68=90%,R68*S68*T68*F!$B$90,IF(U68=91%,R68*S68*T68*F!$B$91,IF(U68=92%,R68*S68*T68*F!$B$92,IF(U68=93%,R68*S68*T68*F!$B$93,IF(U68=94%,R68*S68*T68*F!$B$94,IF(U68=95%,R68*S68*T68*F!$B$95,IF(U68=96%,R68*S68*T68*F!$B$96,IF(U68=97%,R68*S68*T68*F!$B$97,IF(U68=98%,R68*S68*T68*F!$B$98,IF(U68=99%,R68*S68*T68*F!$B$99,IF(U68&gt;99%,R68*S68*T68*F!$B$100)))))))))))))))))))))))))))))))))))))))))))))))))))))))))*IF(ISNUMBER(E68),E68,1)*IF(ISNUMBER(D68),D68,1)</f>
        <v>0</v>
      </c>
      <c r="AA68" s="32">
        <f t="shared" ref="AA68:AA73" si="151">G68*H68+K68*L68+O68*P68+S68*T68</f>
        <v>0</v>
      </c>
      <c r="AB68" s="38">
        <f t="shared" ref="AB68:AB73" si="152">(H68*(IF(I68&lt;45%,0.5,IF(I68&lt;55%,0.8,IF(I68&lt;65%,0.9,IF(I68&lt;75%,1,IF(I68&lt;85%,1.1,1.2))))))+L68*(IF(M68&lt;45%,0.5,IF(M68&lt;55%,0.8,IF(M68&lt;65%,0.9,IF(M68&lt;75%,1,IF(M68&lt;85%,1.1,1.2))))))+P68*(IF(Q68&lt;45%,0.5,IF(Q68&lt;55%,0.8,IF(Q68&lt;65%,0.9,IF(Q68&lt;75%,1,IF(Q68&lt;85%,1.1,1.2))))))+T68*(IF(U68&lt;45%,0.5,IF(U68&lt;55%,0.8,IF(U68&lt;65%,0.9,IF(U68&lt;75%,1,IF(U68&lt;85%,1.1,1.2)))))))*IF(D68&gt;=0.8,6,IF(D68&lt;=0.4,1.5,3))</f>
        <v>0</v>
      </c>
      <c r="AC68" s="9"/>
      <c r="AD68" s="9"/>
      <c r="AE68" s="9"/>
      <c r="AF68" s="112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ht="15.0" hidden="1" customHeight="1">
      <c r="A69" s="142">
        <f>A62+1</f>
        <v>42344</v>
      </c>
      <c r="B69" s="44" t="str">
        <f t="shared" ref="B69:C69" si="140">IF(B32="","",B32)</f>
        <v/>
      </c>
      <c r="C69" s="149" t="str">
        <f t="shared" si="140"/>
        <v/>
      </c>
      <c r="D69" s="46" t="str">
        <f t="shared" si="141"/>
        <v/>
      </c>
      <c r="E69" s="47" t="str">
        <f t="shared" si="61"/>
        <v/>
      </c>
      <c r="F69" s="48"/>
      <c r="G69" s="49"/>
      <c r="H69" s="49"/>
      <c r="I69" s="50" t="str">
        <f t="shared" si="142"/>
        <v/>
      </c>
      <c r="J69" s="48"/>
      <c r="K69" s="49"/>
      <c r="L69" s="49"/>
      <c r="M69" s="50" t="str">
        <f t="shared" si="143"/>
        <v/>
      </c>
      <c r="N69" s="48"/>
      <c r="O69" s="49"/>
      <c r="P69" s="49"/>
      <c r="Q69" s="50" t="str">
        <f t="shared" si="144"/>
        <v/>
      </c>
      <c r="R69" s="48"/>
      <c r="S69" s="49"/>
      <c r="T69" s="49"/>
      <c r="U69" s="50" t="str">
        <f t="shared" si="145"/>
        <v/>
      </c>
      <c r="V69" s="134">
        <f t="shared" si="146"/>
        <v>0</v>
      </c>
      <c r="W69" s="53">
        <f t="shared" si="147"/>
        <v>0</v>
      </c>
      <c r="X69" s="54">
        <f t="shared" si="148"/>
        <v>0</v>
      </c>
      <c r="Y69" s="137" t="str">
        <f t="shared" si="149"/>
        <v/>
      </c>
      <c r="Z69" s="53">
        <f t="shared" si="150"/>
        <v>0</v>
      </c>
      <c r="AA69" s="49">
        <f t="shared" si="151"/>
        <v>0</v>
      </c>
      <c r="AB69" s="56">
        <f t="shared" si="152"/>
        <v>0</v>
      </c>
      <c r="AC69" s="9"/>
      <c r="AD69" s="9"/>
      <c r="AE69" s="9"/>
      <c r="AF69" s="112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ht="15.75" hidden="1" customHeight="1">
      <c r="A70" s="57"/>
      <c r="B70" s="44" t="str">
        <f t="shared" ref="B70:C70" si="153">IF(B33="","",B33)</f>
        <v/>
      </c>
      <c r="C70" s="149" t="str">
        <f t="shared" si="153"/>
        <v/>
      </c>
      <c r="D70" s="46" t="str">
        <f t="shared" si="141"/>
        <v/>
      </c>
      <c r="E70" s="47" t="str">
        <f t="shared" si="61"/>
        <v/>
      </c>
      <c r="F70" s="59"/>
      <c r="G70" s="60"/>
      <c r="H70" s="60"/>
      <c r="I70" s="61" t="str">
        <f t="shared" si="142"/>
        <v/>
      </c>
      <c r="J70" s="59"/>
      <c r="K70" s="60"/>
      <c r="L70" s="60"/>
      <c r="M70" s="61" t="str">
        <f t="shared" si="143"/>
        <v/>
      </c>
      <c r="N70" s="59"/>
      <c r="O70" s="60"/>
      <c r="P70" s="60"/>
      <c r="Q70" s="61" t="str">
        <f t="shared" si="144"/>
        <v/>
      </c>
      <c r="R70" s="59"/>
      <c r="S70" s="60"/>
      <c r="T70" s="60"/>
      <c r="U70" s="61" t="str">
        <f t="shared" si="145"/>
        <v/>
      </c>
      <c r="V70" s="104">
        <f t="shared" si="146"/>
        <v>0</v>
      </c>
      <c r="W70" s="64">
        <f t="shared" si="147"/>
        <v>0</v>
      </c>
      <c r="X70" s="65">
        <f t="shared" si="148"/>
        <v>0</v>
      </c>
      <c r="Y70" s="137" t="str">
        <f t="shared" si="149"/>
        <v/>
      </c>
      <c r="Z70" s="64">
        <f t="shared" si="150"/>
        <v>0</v>
      </c>
      <c r="AA70" s="60">
        <f t="shared" si="151"/>
        <v>0</v>
      </c>
      <c r="AB70" s="66">
        <f t="shared" si="152"/>
        <v>0</v>
      </c>
      <c r="AC70" s="9"/>
      <c r="AD70" s="9"/>
      <c r="AE70" s="9"/>
      <c r="AF70" s="112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ht="15.75" hidden="1" customHeight="1">
      <c r="A71" s="57"/>
      <c r="B71" s="44" t="str">
        <f t="shared" ref="B71:C71" si="154">IF(B34="","",B34)</f>
        <v/>
      </c>
      <c r="C71" s="149" t="str">
        <f t="shared" si="154"/>
        <v/>
      </c>
      <c r="D71" s="46" t="str">
        <f t="shared" si="141"/>
        <v/>
      </c>
      <c r="E71" s="47" t="str">
        <f t="shared" si="61"/>
        <v/>
      </c>
      <c r="F71" s="48"/>
      <c r="G71" s="49"/>
      <c r="H71" s="49"/>
      <c r="I71" s="50" t="str">
        <f t="shared" si="142"/>
        <v/>
      </c>
      <c r="J71" s="48"/>
      <c r="K71" s="49"/>
      <c r="L71" s="49"/>
      <c r="M71" s="50" t="str">
        <f t="shared" si="143"/>
        <v/>
      </c>
      <c r="N71" s="48"/>
      <c r="O71" s="49"/>
      <c r="P71" s="49"/>
      <c r="Q71" s="50" t="str">
        <f t="shared" si="144"/>
        <v/>
      </c>
      <c r="R71" s="48"/>
      <c r="S71" s="49"/>
      <c r="T71" s="49"/>
      <c r="U71" s="50" t="str">
        <f t="shared" si="145"/>
        <v/>
      </c>
      <c r="V71" s="134">
        <f t="shared" si="146"/>
        <v>0</v>
      </c>
      <c r="W71" s="53">
        <f t="shared" si="147"/>
        <v>0</v>
      </c>
      <c r="X71" s="54">
        <f t="shared" si="148"/>
        <v>0</v>
      </c>
      <c r="Y71" s="137" t="str">
        <f t="shared" si="149"/>
        <v/>
      </c>
      <c r="Z71" s="53">
        <f t="shared" si="150"/>
        <v>0</v>
      </c>
      <c r="AA71" s="49">
        <f t="shared" si="151"/>
        <v>0</v>
      </c>
      <c r="AB71" s="56">
        <f t="shared" si="152"/>
        <v>0</v>
      </c>
      <c r="AC71" s="9"/>
      <c r="AD71" s="9"/>
      <c r="AE71" s="9"/>
      <c r="AF71" s="112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ht="15.75" hidden="1" customHeight="1">
      <c r="A72" s="57"/>
      <c r="B72" s="44" t="str">
        <f t="shared" ref="B72:C72" si="155">IF(B35="","",B35)</f>
        <v/>
      </c>
      <c r="C72" s="149" t="str">
        <f t="shared" si="155"/>
        <v/>
      </c>
      <c r="D72" s="46" t="str">
        <f t="shared" si="141"/>
        <v/>
      </c>
      <c r="E72" s="47" t="str">
        <f t="shared" si="61"/>
        <v/>
      </c>
      <c r="F72" s="59"/>
      <c r="G72" s="60"/>
      <c r="H72" s="60"/>
      <c r="I72" s="61" t="str">
        <f t="shared" si="142"/>
        <v/>
      </c>
      <c r="J72" s="59"/>
      <c r="K72" s="60"/>
      <c r="L72" s="60"/>
      <c r="M72" s="61" t="str">
        <f t="shared" si="143"/>
        <v/>
      </c>
      <c r="N72" s="59"/>
      <c r="O72" s="60"/>
      <c r="P72" s="60"/>
      <c r="Q72" s="61" t="str">
        <f t="shared" si="144"/>
        <v/>
      </c>
      <c r="R72" s="59"/>
      <c r="S72" s="60"/>
      <c r="T72" s="60"/>
      <c r="U72" s="61" t="str">
        <f t="shared" si="145"/>
        <v/>
      </c>
      <c r="V72" s="104">
        <f t="shared" si="146"/>
        <v>0</v>
      </c>
      <c r="W72" s="64">
        <f t="shared" si="147"/>
        <v>0</v>
      </c>
      <c r="X72" s="62">
        <f t="shared" si="148"/>
        <v>0</v>
      </c>
      <c r="Y72" s="137" t="str">
        <f t="shared" si="149"/>
        <v/>
      </c>
      <c r="Z72" s="64">
        <f t="shared" si="150"/>
        <v>0</v>
      </c>
      <c r="AA72" s="60">
        <f t="shared" si="151"/>
        <v>0</v>
      </c>
      <c r="AB72" s="66">
        <f t="shared" si="152"/>
        <v>0</v>
      </c>
      <c r="AC72" s="9"/>
      <c r="AD72" s="9"/>
      <c r="AE72" s="9"/>
      <c r="AF72" s="112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ht="15.75" hidden="1" customHeight="1">
      <c r="A73" s="57"/>
      <c r="B73" s="44" t="str">
        <f t="shared" ref="B73:C73" si="156">IF(B36="","",B36)</f>
        <v/>
      </c>
      <c r="C73" s="149" t="str">
        <f t="shared" si="156"/>
        <v/>
      </c>
      <c r="D73" s="46" t="str">
        <f t="shared" si="141"/>
        <v/>
      </c>
      <c r="E73" s="47" t="str">
        <f t="shared" si="61"/>
        <v/>
      </c>
      <c r="F73" s="48"/>
      <c r="G73" s="49"/>
      <c r="H73" s="49"/>
      <c r="I73" s="50" t="str">
        <f t="shared" si="142"/>
        <v/>
      </c>
      <c r="J73" s="48"/>
      <c r="K73" s="49"/>
      <c r="L73" s="49"/>
      <c r="M73" s="50" t="str">
        <f t="shared" si="143"/>
        <v/>
      </c>
      <c r="N73" s="48"/>
      <c r="O73" s="49"/>
      <c r="P73" s="49"/>
      <c r="Q73" s="50" t="str">
        <f t="shared" si="144"/>
        <v/>
      </c>
      <c r="R73" s="48"/>
      <c r="S73" s="49"/>
      <c r="T73" s="49"/>
      <c r="U73" s="50" t="str">
        <f t="shared" si="145"/>
        <v/>
      </c>
      <c r="V73" s="134">
        <f t="shared" si="146"/>
        <v>0</v>
      </c>
      <c r="W73" s="53">
        <f t="shared" si="147"/>
        <v>0</v>
      </c>
      <c r="X73" s="54">
        <f t="shared" si="148"/>
        <v>0</v>
      </c>
      <c r="Y73" s="137" t="str">
        <f t="shared" si="149"/>
        <v/>
      </c>
      <c r="Z73" s="53">
        <f t="shared" si="150"/>
        <v>0</v>
      </c>
      <c r="AA73" s="49">
        <f t="shared" si="151"/>
        <v>0</v>
      </c>
      <c r="AB73" s="56">
        <f t="shared" si="152"/>
        <v>0</v>
      </c>
      <c r="AC73" s="9"/>
      <c r="AD73" s="9"/>
      <c r="AE73" s="9"/>
      <c r="AF73" s="112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ht="15.75" hidden="1" customHeight="1">
      <c r="A74" s="72"/>
      <c r="B74" s="73" t="str">
        <f t="shared" ref="B74:C74" si="157">IF(B37="","",B37)</f>
        <v/>
      </c>
      <c r="C74" s="150" t="str">
        <f t="shared" si="157"/>
        <v/>
      </c>
      <c r="D74" s="75">
        <f>ROUND(IFERROR((D68*(G68*H68+K68*L68+O68*P68+S68*T68)+D69*(G69*H69+K69*L69+O69*P69+S69*T69)+D70*(G70*H70+K70*L70+O70*P70+S70*T70)+D71*(G71*H71+K71*L71+O71*P71+S71*T71)+D72*(G72*H72+K72*L72+O72*P72+S72*T72)+D73*(G73*H73+K73*L73+O73*P73+S73*T73))/((G68*H68+K68*L68+O68*P68+S68*T68)+(G69*H69+K69*L69+O69*P69+S69*T69)+(G70*H70+K70*L70+O70*P70+S70*T70)+(G71*H71+K71*L71+O71*P71+S71*T71)+(G72*H72+K72*L72+O72*P72+S72*T72)+(G73*H73+K73*L73+O73*P73+S73*T73)),0),2)</f>
        <v>0</v>
      </c>
      <c r="E74" s="76" t="str">
        <f t="shared" si="61"/>
        <v/>
      </c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125">
        <f>SUM(V68:V73)</f>
        <v>0</v>
      </c>
      <c r="W74" s="82">
        <f t="shared" ref="W74:W75" si="159">IFERROR(V74/AA74,0)</f>
        <v>0</v>
      </c>
      <c r="X74" s="83">
        <f>ROUND(IFERROR(((I68*G68*H68+M68*K68*L68+Q68*O68*P68+U68*S68*T68)+(I69*G69*H69+M69*K69*L69+Q69*O69*P69+U69*S69*T69)+(I70*G70*H70+M70*K70*L70+Q70*O70*P70+U70*S70*T70)+(I71*G71*H71+M71*K71*L71+Q71*O71*P71+U71*S71*T71)+(I72*G72*H72+M72*K72*L72+Q72*O72*P72+U72*S72*T72)+(I73*G73*H73+M73*K73*L73+Q73*O73*P73+U73*S73*T73))/((G68*H68+K68*L68+O68*P68+S68*T68)+(G69*H69+K69*L69+O69*P69+S69*T69)+(G70*H70+K70*L70+O70*P70+S70*T70)+(G71*H71+K71*L71+O71*P71+S71*T71)+(G72*H72+K72*L72+O72*P72+S72*T72)+(G73*H73+K73*L73+O73*P73+S73*T73)),0),3)</f>
        <v>0</v>
      </c>
      <c r="Y74" s="84"/>
      <c r="Z74" s="82">
        <f t="shared" ref="Z74:AA74" si="158">SUM(Z68:Z73)</f>
        <v>0</v>
      </c>
      <c r="AA74" s="85">
        <f t="shared" si="158"/>
        <v>0</v>
      </c>
      <c r="AB74" s="86">
        <f>IF(SUM(AB68:AB73)=0,TIME(,0,),TIME(,SUM(AB68:AB73)+30,))</f>
        <v>0</v>
      </c>
      <c r="AC74" s="9"/>
      <c r="AD74" s="9"/>
      <c r="AE74" s="9"/>
      <c r="AF74" s="112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ht="15.75" customHeight="1">
      <c r="A75" s="1" t="s">
        <v>47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/>
      <c r="V75" s="4">
        <f>V83+V90+V97+V104+V111</f>
        <v>15802.1</v>
      </c>
      <c r="W75" s="5">
        <f t="shared" si="159"/>
        <v>21.44111262</v>
      </c>
      <c r="X75" s="6"/>
      <c r="Y75" s="155">
        <v>0.01</v>
      </c>
      <c r="Z75" s="4" t="str">
        <f t="shared" ref="Z75:AB75" si="160">Z83+Z90+Z97+Z104+Z111</f>
        <v>#REF!</v>
      </c>
      <c r="AA75" s="4">
        <f t="shared" si="160"/>
        <v>737</v>
      </c>
      <c r="AB75" s="8">
        <f t="shared" si="160"/>
        <v>0.2034722222</v>
      </c>
      <c r="AC75" s="9"/>
      <c r="AD75" s="9"/>
      <c r="AE75" s="9"/>
      <c r="AF75" s="112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ht="15.75" customHeight="1">
      <c r="A76" s="15" t="s">
        <v>1</v>
      </c>
      <c r="B76" s="16" t="s">
        <v>2</v>
      </c>
      <c r="C76" s="17" t="s">
        <v>3</v>
      </c>
      <c r="D76" s="18" t="s">
        <v>4</v>
      </c>
      <c r="E76" s="18" t="s">
        <v>5</v>
      </c>
      <c r="F76" s="16" t="s">
        <v>6</v>
      </c>
      <c r="G76" s="16" t="s">
        <v>7</v>
      </c>
      <c r="H76" s="16" t="s">
        <v>8</v>
      </c>
      <c r="I76" s="16" t="s">
        <v>9</v>
      </c>
      <c r="J76" s="16" t="s">
        <v>6</v>
      </c>
      <c r="K76" s="16" t="s">
        <v>7</v>
      </c>
      <c r="L76" s="16" t="s">
        <v>8</v>
      </c>
      <c r="M76" s="16" t="s">
        <v>9</v>
      </c>
      <c r="N76" s="16" t="s">
        <v>6</v>
      </c>
      <c r="O76" s="16" t="s">
        <v>7</v>
      </c>
      <c r="P76" s="16" t="s">
        <v>8</v>
      </c>
      <c r="Q76" s="16" t="s">
        <v>9</v>
      </c>
      <c r="R76" s="16" t="s">
        <v>6</v>
      </c>
      <c r="S76" s="16" t="s">
        <v>7</v>
      </c>
      <c r="T76" s="16" t="s">
        <v>8</v>
      </c>
      <c r="U76" s="16" t="s">
        <v>9</v>
      </c>
      <c r="V76" s="16" t="s">
        <v>10</v>
      </c>
      <c r="W76" s="18" t="s">
        <v>11</v>
      </c>
      <c r="X76" s="18" t="s">
        <v>12</v>
      </c>
      <c r="Y76" s="19" t="s">
        <v>13</v>
      </c>
      <c r="Z76" s="20" t="s">
        <v>14</v>
      </c>
      <c r="AA76" s="16" t="s">
        <v>15</v>
      </c>
      <c r="AB76" s="21" t="s">
        <v>16</v>
      </c>
      <c r="AC76" s="9"/>
      <c r="AD76" s="9"/>
      <c r="AE76" s="9"/>
      <c r="AF76" s="112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ht="15.75" customHeight="1">
      <c r="A77" s="26" t="s">
        <v>17</v>
      </c>
      <c r="B77" s="27" t="s">
        <v>20</v>
      </c>
      <c r="C77" s="148" t="str">
        <f t="shared" ref="C77:C79" si="161">IF(C40="","",C40)</f>
        <v>Ягодичный мост со штангой</v>
      </c>
      <c r="D77" s="29">
        <f t="shared" ref="D77:D82" si="162">D40</f>
        <v>1</v>
      </c>
      <c r="E77" s="30" t="str">
        <f t="shared" ref="E77:E111" si="163">IF(E40="","",E40)</f>
        <v/>
      </c>
      <c r="F77" s="31">
        <f t="shared" ref="F77:F82" si="164">IF(I77&lt;&gt;0,(IFERROR(IF($Y77&gt;50,MROUND($Y77*I77,2.5),IF($Y77&lt;15,MROUND($Y77*I77,0.1),MROUND($Y77*I77,1))),)),"")</f>
        <v>32.5</v>
      </c>
      <c r="G77" s="32">
        <v>15.0</v>
      </c>
      <c r="H77" s="32">
        <v>1.0</v>
      </c>
      <c r="I77" s="33">
        <v>0.35</v>
      </c>
      <c r="J77" s="31">
        <f t="shared" ref="J77:J82" si="165">IF(M77&lt;&gt;0,(IFERROR(IF($Y77&gt;50,MROUND($Y77*M77,2.5),IF($Y77&lt;15,MROUND($Y77*M77,0.1),MROUND($Y77*M77,1))),)),"")</f>
        <v>37.5</v>
      </c>
      <c r="K77" s="32">
        <v>20.0</v>
      </c>
      <c r="L77" s="32">
        <v>1.0</v>
      </c>
      <c r="M77" s="33">
        <v>0.4</v>
      </c>
      <c r="N77" s="31" t="str">
        <f t="shared" ref="N77:N82" si="166">IF(Q77&lt;&gt;0,(IFERROR(IF($Y77&gt;50,MROUND($Y77*Q77,2.5),IF($Y77&lt;15,MROUND($Y77*Q77,0.1),MROUND($Y77*Q77,1))),)),"")</f>
        <v/>
      </c>
      <c r="O77" s="32"/>
      <c r="P77" s="32"/>
      <c r="Q77" s="33">
        <v>0.0</v>
      </c>
      <c r="R77" s="31" t="str">
        <f t="shared" ref="R77:R82" si="167">IF(U77&lt;&gt;0,(IFERROR(IF($Y77&gt;50,MROUND($Y77*U77,2.5),IF($Y77&lt;15,MROUND($Y77*U77,0.1),MROUND($Y77*U77,1))),)),"")</f>
        <v/>
      </c>
      <c r="S77" s="32"/>
      <c r="T77" s="32"/>
      <c r="U77" s="34">
        <v>0.0</v>
      </c>
      <c r="V77" s="35">
        <f t="shared" ref="V77:V82" si="168">(IF(ISNUMBER(F77),F77,1)*G77*H77+IF(ISNUMBER(J77),J77,1)*K77*L77+IF(ISNUMBER(N77),N77,1)*O77*P77+IF(ISNUMBER(R77),R77,1)*S77*T77)*IF(ISNUMBER(E77),E77,1)</f>
        <v>1237.5</v>
      </c>
      <c r="W77" s="36">
        <f t="shared" ref="W77:W82" si="169">IFERROR((IF(ISNUMBER(F77),F77,1)*G77*H77+IF(ISNUMBER(J77),J77,1)*K77*L77+IF(ISNUMBER(N77),N77,1)*O77*P77+IF(ISNUMBER(R77),R77,1)*S77*T77)*IF(ISNUMBER(E77),E77,1)/(G77*H77+K77*L77+O77*P77+S77*T77),0)</f>
        <v>35.35714286</v>
      </c>
      <c r="X77" s="34">
        <f t="shared" ref="X77:X82" si="170">ROUND(IFERROR((W77/(Y77*IF(ISNUMBER(E77),E77,1))),0),2)</f>
        <v>0.39</v>
      </c>
      <c r="Y77" s="37">
        <f t="shared" ref="Y77:Y82" si="171">IF(ISNUMBER(Y40), Y40+(Y40*$Y$75),"")</f>
        <v>91.809</v>
      </c>
      <c r="Z77" s="36" t="str">
        <f t="shared" ref="Z77:Z82" si="172">(IF(I77&lt;30%,0,IF(I77&lt;35%,F77*G77*H77*F!$B$33,IF(I77&lt;40%,F77*G77*H77*F!$B$38,IF(I77&lt;45%,F77*G77*H77*F!$B$43,IF(I77&lt;50%,F77*G77*H77*F!$B$48,IF(I77=50%,F77*G77*H77*F!$B$50,IF(I77=51%,F77*G77*H77*F!$B$51,IF(I77=52%,F77*G77*H77*F!$B$52,IF(I77=53%,F77*G77*H77*F!$B$53,IF(I77=54%,F77*G77*H77*F!$B$54,IF(I77=55%,F77*G77*H77*F!$B$55,IF(I77=56%,F77*G77*H77*F!$B$56,IF(I77=57%,F77*G77*H77*F!$B$57,IF(I77=58%,F77*G77*H77*F!$B$58,IF(I77=59%,F77*G77*H77*F!$B$59,IF(I77=60%,F77*G77*H77*F!$B$60,IF(I77=61%,F77*G77*H77*F!$B$61,IF(I77=62%,F77*G77*H77*F!$B$62,IF(I77=63%,F77*G77*H77*F!$B$63,IF(I77=64%,F77*G77*H77*F!$B$64,IF(I77=65%,F77*G77*H77*F!$B$65,IF(I77=66%,F77*G77*H77*F!$B$66,IF(I77=67%,F77*G77*H77*F!$B$67,IF(I77=68%,F77*G77*H77*F!$B$68,IF(I77=69%,F77*G77*H77*F!$B$69,IF(I77=70%,F77*G77*H77*F!$B$70,IF(I77=71%,F77*G77*H77*F!$B$71,IF(I77=72%,F77*G77*H77*F!$B$72,IF(I77=73%,F77*G77*H77*F!$B$73,IF(I77=74%,F77*G77*H77*F!$B$74,IF(I77=75%,F77*G77*H77*F!$B$75,IF(I77=76%,F77*G77*H77*F!$B$76,IF(I77=77%,F77*G77*H77*F!$B$77,IF(I77=78%,F77*G77*H77*F!$B$78,IF(I77=79%,F77*G77*H77*F!$B$79,IF(I77=80%,F77*G77*H77*F!$B$80,IF(I77=81%,F77*G77*H77*F!$B$81,IF(I77=82%,F77*G77*H77*F!$B$82,IF(I77=83%,F77*G77*H77*F!$B$83,IF(I77=84%,F77*G77*H77*F!$B$84,IF(I77=85%,F77*G77*H77*F!$B$85,IF(I77=86%,F77*G77*H77*F!$B$86,IF(I77=87%,F77*G77*H77*F!$B$87,IF(I77=88%,F77*G77*H77*F!$B$88,IF(I77=89%,F77*G77*H77*F!$B$89,IF(I77=90%,F77*G77*H77*F!$B$90,IF(I77=91%,F77*G77*H77*F!$B$91,IF(I77=92%,F77*G77*H77*F!$B$92,IF(I77=93%,F77*G77*H77*F!$B$93,IF(I77=94%,F77*G77*H77*F!$B$94,IF(I77=95%,F77*G77*H77*F!$B$95,IF(I77=96%,F77*G77*H77*F!$B$96,IF(I77=97%,F77*G77*H77*F!$B$97,IF(I77=98%,F77*G77*H77*F!$B$98,IF(I77=99%,F77*G77*H77*F!$B$99,IF(I77&gt;99%,F77*G77*H77*F!$B$100,))))))))))))))))))))))))))))))))))))))))))))))))))))))))+IF(M77&lt;30%,0,IF(M77&lt;35%,J77*K77*L77*F!$B$33,IF(M77&lt;40%,J77*K77*L77*F!$B$38,IF(M77&lt;45%,J77*K77*L77*F!$B$43,IF(M77&lt;50%,J77*K77*L77*F!$B$48,IF(M77=50%,J77*K77*L77*F!$B$50,IF(M77=51%,J77*K77*L77*F!$B$51,IF(M77=52%,J77*K77*L77*F!$B$52,IF(M77=53%,J77*K77*L77*F!$B$53,IF(M77=54%,J77*K77*L77*F!$B$54,IF(M77=55%,J77*K77*L77*F!$B$55,IF(M77=56%,J77*K77*L77*F!$B$56,IF(M77=57%,J77*K77*L77*F!$B$57,IF(M77=58%,J77*K77*L77*F!$B$58,IF(M77=59%,J77*K77*L77*F!$B$59,IF(M77=60%,J77*K77*L77*F!$B$60,IF(M77=61%,J77*K77*L77*F!$B$61,IF(M77=62%,J77*K77*L77*F!$B$62,IF(M77=63%,J77*K77*L77*F!$B$63,IF(M77=64%,J77*K77*L77*F!$B$64,IF(M77=65%,J77*K77*L77*F!$B$65,IF(M77=66%,J77*K77*L77*F!$B$66,IF(M77=67%,J77*K77*L77*F!$B$67,IF(M77=68%,J77*K77*L77*F!$B$68,IF(M77=69%,J77*K77*L77*F!$B$69,IF(M77=70%,J77*K77*L77*F!$B$70,IF(M77=71%,J77*K77*L77*F!$B$71,IF(M77=72%,J77*K77*L77*F!$B$72,IF(M77=73%,J77*K77*L77*F!$B$73,IF(M77=74%,J77*K77*L77*F!$B$74,IF(M77=75%,J77*K77*L77*F!$B$75,IF(M77=76%,J77*K77*L77*F!$B$76,IF(M77=77%,J77*K77*L77*F!$B$77,IF(M77=78%,J77*K77*L77*F!$B$78,IF(M77=79%,J77*K77*L77*F!$B$79,IF(M77=80%,J77*K77*L77*F!$B$80,IF(M77=81%,J77*K77*L77*F!$B$81,IF(M77=82%,J77*K77*L77*F!$B$82,IF(M77=83%,J77*K77*L77*F!$B$83,IF(M77=84%,J77*K77*L77*F!$B$84,IF(M77=85%,J77*K77*L77*F!$B$85,IF(M77=86%,J77*K77*L77*F!$B$86,IF(M77=87%,J77*K77*L77*F!$B$87,IF(M77=88%,J77*K77*L77*F!$B$88,IF(M77=89%,J77*K77*L77*F!$B$89,IF(M77=90%,J77*K77*L77*F!$B$90,IF(M77=91%,J77*K77*L77*F!$B$91,IF(M77=92%,J77*K77*L77*F!$B$92,IF(M77=93%,J77*K77*L77*F!$B$93,IF(M77=94%,J77*K77*L77*F!$B$94,IF(M77=95%,J77*K77*L77*F!$B$95,IF(M77=96%,J77*K77*L77*F!$B$96,IF(M77=97%,J77*K77*L77*F!$B$97,IF(M77=98%,J77*K77*L77*F!$B$98,IF(M77=99%,J77*K77*L77*F!$B$99,IF(M77&gt;99%,J77*K77*L77*F!$B$100,))))))))))))))))))))))))))))))))))))))))))))))))))))))))+IF(Q77&lt;30%,0,IF(Q77&lt;35%,N77*O77*P77*F!$B$33,IF(Q77&lt;40%,N77*O77*P77*F!$B$38,IF(Q77&lt;45%,N77*O77*P77*F!$B$43,IF(Q77&lt;50%,N77*O77*P77*F!$B$48,IF(Q77=50%,N77*O77*P77*F!$B$50,IF(Q77=51%,N77*O77*P77*F!$B$51,IF(Q77=52%,N77*O77*P77*F!$B$52,IF(Q77=53%,N77*O77*P77*F!$B$53,IF(Q77=54%,N77*O77*P77*F!$B$54,IF(Q77=55%,N77*O77*P77*F!$B$55,IF(Q77=56%,N77*O77*P77*F!$B$56,IF(Q77=57%,N77*O77*P77*F!$B$57,IF(Q77=58%,N77*O77*P77*F!$B$58,IF(Q77=59%,N77*O77*P77*F!$B$59,IF(Q77=60%,N77*O77*P77*F!$B$60,IF(Q77=61%,N77*O77*P77*F!$B$61,IF(Q77=62%,N77*O77*P77*F!$B$62,IF(Q77=63%,N77*O77*P77*F!$B$63,IF(Q77=64%,N77*O77*P77*F!$B$64,IF(Q77=65%,N77*O77*P77*F!$B$65,IF(Q77=66%,N77*O77*P77*F!$B$66,IF(Q77=67%,N77*O77*P77*F!$B$67,IF(Q77=68%,N77*O77*P77*F!$B$68,IF(Q77=69%,N77*O77*P77*F!$B$69,IF(Q77=70%,N77*O77*P77*F!$B$70,IF(Q77=71%,N77*O77*P77*F!$B$71,IF(Q77=72%,N77*O77*P77*F!$B$72,IF(Q77=73%,N77*O77*P77*F!$B$73,IF(Q77=74%,N77*O77*P77*F!$B$74,IF(Q77=75%,N77*O77*P77*F!$B$75,IF(Q77=76%,N77*O77*P77*F!$B$76,IF(Q77=77%,N77*O77*P77*F!$B$77,IF(Q77=78%,N77*O77*P77*F!$B$78,IF(Q77=79%,N77*O77*P77*F!$B$79,IF(Q77=80%,N77*O77*P77*F!$B$80,IF(Q77=81%,N77*O77*P77*F!$B$81,IF(Q77=82%,N77*O77*P77*F!$B$82,IF(Q77=83%,N77*O77*P77*F!$B$83,IF(Q77=84%,N77*O77*P77*F!$B$84,IF(Q77=85%,N77*O77*P77*F!$B$85,IF(Q77=86%,N77*O77*P77*F!$B$86,IF(Q77=87%,N77*O77*P77*F!$B$87,IF(Q77=88%,N77*O77*P77*F!$B$88,IF(Q77=89%,N77*O77*P77*F!$B$89,IF(Q77=90%,N77*O77*P77*F!$B$90,IF(Q77=91%,N77*O77*P77*F!$B$91,IF(Q77=92%,N77*O77*P77*F!$B$92,IF(Q77=93%,N77*O77*P77*F!$B$93,IF(Q77=94%,N77*O77*P77*F!$B$94,IF(Q77=95%,N77*O77*P77*F!$B$95,IF(Q77=96%,N77*O77*P77*F!$B$96,IF(Q77=97%,N77*O77*P77*F!$B$97,IF(Q77=98%,N77*O77*P77*F!$B$98,IF(Q77=99%,N77*O77*P77*F!$B$99,IF(Q77&gt;99%,N77*O77*P77*F!$B$100,))))))))))))))))))))))))))))))))))))))))))))))))))))))))+IF(U77&lt;30%,0,IF(U77&lt;35%,R77*S77*T77*F!$B$33,IF(U77&lt;40%,R77*S77*T77*F!$B$38,IF(U77&lt;45%,R77*S77*T77*F!$B$43,IF(U77&lt;50%,R77*S77*T77*F!$B$48,IF(U77=50%,R77*S77*T77*F!$B$50,IF(U77=51%,R77*S77*T77*F!$B$51,IF(U77=52%,R77*S77*T77*F!$B$52,IF(U77=53%,R77*S77*T77*F!$B$53,IF(U77=54%,R77*S77*T77*F!$B$54,IF(U77=55%,R77*S77*T77*F!$B$55,IF(U77=56%,R77*S77*T77*F!$B$56,IF(U77=57%,R77*S77*T77*F!$B$57,IF(U77=58%,R77*S77*T77*F!$B$58,IF(U77=59%,R77*S77*T77*F!$B$59,IF(U77=60%,R77*S77*T77*F!$B$60,IF(U77=61%,R77*S77*T77*F!$B$61,IF(U77=62%,R77*S77*T77*F!$B$62,IF(U77=63%,R77*S77*T77*F!$B$63,IF(U77=64%,R77*S77*T77*F!$B$64,IF(U77=65%,R77*S77*T77*F!$B$65,IF(U77=66%,R77*S77*T77*F!$B$66,IF(U77=67%,R77*S77*T77*F!$B$67,IF(U77=68%,R77*S77*T77*F!$B$68,IF(U77=69%,R77*S77*T77*F!$B$69,IF(U77=70%,R77*S77*T77*F!$B$70,IF(U77=71%,R77*S77*T77*F!$B$71,IF(U77=72%,R77*S77*T77*F!$B$72,IF(U77=73%,R77*S77*T77*F!$B$73,IF(U77=74%,R77*S77*T77*F!$B$74,IF(U77=75%,R77*S77*T77*F!$B$75,IF(U77=76%,R77*S77*T77*F!$B$76,IF(U77=77%,R77*S77*T77*F!$B$77,IF(U77=78%,R77*S77*T77*F!$B$78,IF(U77=79%,R77*S77*T77*F!$B$79,IF(U77=80%,R77*S77*T77*F!$B$80,IF(U77=81%,R77*S77*T77*F!$B$81,IF(U77=82%,R77*S77*T77*F!$B$82,IF(U77=83%,R77*S77*T77*F!$B$83,IF(U77=84%,R77*S77*T77*F!$B$84,IF(U77=85%,R77*S77*T77*F!$B$85,IF(U77=86%,R77*S77*T77*F!$B$86,IF(U77=87%,R77*S77*T77*F!$B$87,IF(U77=88%,R77*S77*T77*F!$B$88,IF(U77=89%,R77*S77*T77*F!$B$89,IF(U77=90%,R77*S77*T77*F!$B$90,IF(U77=91%,R77*S77*T77*F!$B$91,IF(U77=92%,R77*S77*T77*F!$B$92,IF(U77=93%,R77*S77*T77*F!$B$93,IF(U77=94%,R77*S77*T77*F!$B$94,IF(U77=95%,R77*S77*T77*F!$B$95,IF(U77=96%,R77*S77*T77*F!$B$96,IF(U77=97%,R77*S77*T77*F!$B$97,IF(U77=98%,R77*S77*T77*F!$B$98,IF(U77=99%,R77*S77*T77*F!$B$99,IF(U77&gt;99%,R77*S77*T77*F!$B$100)))))))))))))))))))))))))))))))))))))))))))))))))))))))))*IF(ISNUMBER(E77),E77,1)*IF(ISNUMBER(D77),D77,1)</f>
        <v>#REF!</v>
      </c>
      <c r="AA77" s="32">
        <f t="shared" ref="AA77:AA82" si="173">G77*H77+K77*L77+O77*P77+S77*T77</f>
        <v>35</v>
      </c>
      <c r="AB77" s="38">
        <f t="shared" ref="AB77:AB82" si="174">(H77*(IF(I77&lt;45%,0.5,IF(I77&lt;55%,0.8,IF(I77&lt;65%,0.9,IF(I77&lt;75%,1,IF(I77&lt;85%,1.1,1.2))))))+L77*(IF(M77&lt;45%,0.5,IF(M77&lt;55%,0.8,IF(M77&lt;65%,0.9,IF(M77&lt;75%,1,IF(M77&lt;85%,1.1,1.2))))))+P77*(IF(Q77&lt;45%,0.5,IF(Q77&lt;55%,0.8,IF(Q77&lt;65%,0.9,IF(Q77&lt;75%,1,IF(Q77&lt;85%,1.1,1.2))))))+T77*(IF(U77&lt;45%,0.5,IF(U77&lt;55%,0.8,IF(U77&lt;65%,0.9,IF(U77&lt;75%,1,IF(U77&lt;85%,1.1,1.2)))))))*IF(D77&gt;=0.8,6,IF(D77&lt;=0.4,1.5,3))</f>
        <v>6</v>
      </c>
      <c r="AC77" s="9"/>
      <c r="AD77" s="9"/>
      <c r="AE77" s="9"/>
      <c r="AF77" s="112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ht="15.0" customHeight="1">
      <c r="A78" s="43">
        <f>A41+7</f>
        <v>42345</v>
      </c>
      <c r="B78" s="44" t="s">
        <v>23</v>
      </c>
      <c r="C78" s="149" t="str">
        <f t="shared" si="161"/>
        <v>Болгарские выпады</v>
      </c>
      <c r="D78" s="46">
        <f t="shared" si="162"/>
        <v>0.3</v>
      </c>
      <c r="E78" s="47" t="str">
        <f t="shared" si="163"/>
        <v/>
      </c>
      <c r="F78" s="48">
        <f t="shared" si="164"/>
        <v>14</v>
      </c>
      <c r="G78" s="49">
        <v>12.0</v>
      </c>
      <c r="H78" s="49">
        <v>1.0</v>
      </c>
      <c r="I78" s="50">
        <v>0.45</v>
      </c>
      <c r="J78" s="48">
        <f t="shared" si="165"/>
        <v>18</v>
      </c>
      <c r="K78" s="49">
        <v>12.0</v>
      </c>
      <c r="L78" s="49">
        <v>3.0</v>
      </c>
      <c r="M78" s="50">
        <v>0.6</v>
      </c>
      <c r="N78" s="48" t="str">
        <f t="shared" si="166"/>
        <v/>
      </c>
      <c r="O78" s="49"/>
      <c r="P78" s="49"/>
      <c r="Q78" s="50">
        <v>0.0</v>
      </c>
      <c r="R78" s="48" t="str">
        <f t="shared" si="167"/>
        <v/>
      </c>
      <c r="S78" s="49"/>
      <c r="T78" s="49"/>
      <c r="U78" s="51">
        <v>0.0</v>
      </c>
      <c r="V78" s="52">
        <f t="shared" si="168"/>
        <v>816</v>
      </c>
      <c r="W78" s="53">
        <f t="shared" si="169"/>
        <v>17</v>
      </c>
      <c r="X78" s="54">
        <f t="shared" si="170"/>
        <v>0.56</v>
      </c>
      <c r="Y78" s="137">
        <f t="shared" si="171"/>
        <v>30.603</v>
      </c>
      <c r="Z78" s="53" t="str">
        <f t="shared" si="172"/>
        <v>#REF!</v>
      </c>
      <c r="AA78" s="49">
        <f t="shared" si="173"/>
        <v>48</v>
      </c>
      <c r="AB78" s="56">
        <f t="shared" si="174"/>
        <v>5.25</v>
      </c>
      <c r="AC78" s="9"/>
      <c r="AD78" s="9"/>
      <c r="AE78" s="9"/>
      <c r="AF78" s="112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ht="15.75" customHeight="1">
      <c r="A79" s="57"/>
      <c r="B79" s="44" t="s">
        <v>18</v>
      </c>
      <c r="C79" s="149" t="str">
        <f t="shared" si="161"/>
        <v>Разведение ног в тренажёре</v>
      </c>
      <c r="D79" s="46">
        <f t="shared" si="162"/>
        <v>0.3</v>
      </c>
      <c r="E79" s="47">
        <f t="shared" si="163"/>
        <v>5</v>
      </c>
      <c r="F79" s="59">
        <f t="shared" si="164"/>
        <v>5.4</v>
      </c>
      <c r="G79" s="60">
        <v>10.0</v>
      </c>
      <c r="H79" s="60">
        <v>4.0</v>
      </c>
      <c r="I79" s="61">
        <v>0.53</v>
      </c>
      <c r="J79" s="59" t="str">
        <f t="shared" si="165"/>
        <v/>
      </c>
      <c r="K79" s="60"/>
      <c r="L79" s="60"/>
      <c r="M79" s="61">
        <v>0.0</v>
      </c>
      <c r="N79" s="59" t="str">
        <f t="shared" si="166"/>
        <v/>
      </c>
      <c r="O79" s="60"/>
      <c r="P79" s="60"/>
      <c r="Q79" s="61">
        <v>0.0</v>
      </c>
      <c r="R79" s="59" t="str">
        <f t="shared" si="167"/>
        <v/>
      </c>
      <c r="S79" s="60"/>
      <c r="T79" s="60"/>
      <c r="U79" s="62">
        <v>0.0</v>
      </c>
      <c r="V79" s="63">
        <f t="shared" si="168"/>
        <v>1080</v>
      </c>
      <c r="W79" s="64">
        <f t="shared" si="169"/>
        <v>27</v>
      </c>
      <c r="X79" s="65">
        <f t="shared" si="170"/>
        <v>0.53</v>
      </c>
      <c r="Y79" s="137">
        <f t="shared" si="171"/>
        <v>10.201</v>
      </c>
      <c r="Z79" s="64" t="str">
        <f t="shared" si="172"/>
        <v>#REF!</v>
      </c>
      <c r="AA79" s="60">
        <f t="shared" si="173"/>
        <v>40</v>
      </c>
      <c r="AB79" s="66">
        <f t="shared" si="174"/>
        <v>4.8</v>
      </c>
      <c r="AC79" s="9"/>
      <c r="AD79" s="9"/>
      <c r="AE79" s="9"/>
      <c r="AF79" s="112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ht="15.75" customHeight="1">
      <c r="A80" s="57"/>
      <c r="B80" s="44" t="str">
        <f t="shared" ref="B80:C80" si="175">IF(B43="","",B43)</f>
        <v>Тяжелая</v>
      </c>
      <c r="C80" s="149" t="str">
        <f t="shared" si="175"/>
        <v>Присед</v>
      </c>
      <c r="D80" s="46">
        <f t="shared" si="162"/>
        <v>1.2</v>
      </c>
      <c r="E80" s="47" t="str">
        <f t="shared" si="163"/>
        <v/>
      </c>
      <c r="F80" s="48">
        <f t="shared" si="164"/>
        <v>27.5</v>
      </c>
      <c r="G80" s="49">
        <v>10.0</v>
      </c>
      <c r="H80" s="49">
        <v>1.0</v>
      </c>
      <c r="I80" s="50">
        <v>0.55</v>
      </c>
      <c r="J80" s="67">
        <f t="shared" si="165"/>
        <v>32.5</v>
      </c>
      <c r="K80" s="49">
        <v>8.0</v>
      </c>
      <c r="L80" s="49">
        <v>4.0</v>
      </c>
      <c r="M80" s="50">
        <v>0.65</v>
      </c>
      <c r="N80" s="48" t="str">
        <f t="shared" si="166"/>
        <v/>
      </c>
      <c r="O80" s="49"/>
      <c r="P80" s="49"/>
      <c r="Q80" s="50">
        <v>0.0</v>
      </c>
      <c r="R80" s="48" t="str">
        <f t="shared" si="167"/>
        <v/>
      </c>
      <c r="S80" s="49"/>
      <c r="T80" s="49"/>
      <c r="U80" s="51">
        <v>0.0</v>
      </c>
      <c r="V80" s="52">
        <f t="shared" si="168"/>
        <v>1315</v>
      </c>
      <c r="W80" s="53">
        <f t="shared" si="169"/>
        <v>31.30952381</v>
      </c>
      <c r="X80" s="54">
        <f t="shared" si="170"/>
        <v>0.61</v>
      </c>
      <c r="Y80" s="137">
        <f t="shared" si="171"/>
        <v>51.005</v>
      </c>
      <c r="Z80" s="53" t="str">
        <f t="shared" si="172"/>
        <v>#REF!</v>
      </c>
      <c r="AA80" s="49">
        <f t="shared" si="173"/>
        <v>42</v>
      </c>
      <c r="AB80" s="56">
        <f t="shared" si="174"/>
        <v>29.4</v>
      </c>
      <c r="AC80" s="9"/>
      <c r="AD80" s="9"/>
      <c r="AE80" s="9"/>
      <c r="AF80" s="112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ht="15.75" customHeight="1">
      <c r="A81" s="57"/>
      <c r="B81" s="44" t="str">
        <f t="shared" ref="B81:C81" si="176">IF(B44="","",B44)</f>
        <v>Легкая</v>
      </c>
      <c r="C81" s="149" t="str">
        <f t="shared" si="176"/>
        <v>Жим гантелей вверх</v>
      </c>
      <c r="D81" s="46">
        <f t="shared" si="162"/>
        <v>1.2</v>
      </c>
      <c r="E81" s="47">
        <f t="shared" si="163"/>
        <v>2</v>
      </c>
      <c r="F81" s="59">
        <f t="shared" si="164"/>
        <v>3.6</v>
      </c>
      <c r="G81" s="60">
        <v>8.0</v>
      </c>
      <c r="H81" s="60">
        <v>4.0</v>
      </c>
      <c r="I81" s="61">
        <v>0.5</v>
      </c>
      <c r="J81" s="59" t="str">
        <f t="shared" si="165"/>
        <v/>
      </c>
      <c r="K81" s="60"/>
      <c r="L81" s="60"/>
      <c r="M81" s="61">
        <v>0.0</v>
      </c>
      <c r="N81" s="59" t="str">
        <f t="shared" si="166"/>
        <v/>
      </c>
      <c r="O81" s="60"/>
      <c r="P81" s="60"/>
      <c r="Q81" s="61">
        <v>0.0</v>
      </c>
      <c r="R81" s="59" t="str">
        <f t="shared" si="167"/>
        <v/>
      </c>
      <c r="S81" s="60"/>
      <c r="T81" s="60"/>
      <c r="U81" s="62">
        <v>0.0</v>
      </c>
      <c r="V81" s="63">
        <f t="shared" si="168"/>
        <v>230.4</v>
      </c>
      <c r="W81" s="64">
        <f t="shared" si="169"/>
        <v>7.2</v>
      </c>
      <c r="X81" s="62">
        <f t="shared" si="170"/>
        <v>0.5</v>
      </c>
      <c r="Y81" s="137">
        <f t="shared" si="171"/>
        <v>7.1407</v>
      </c>
      <c r="Z81" s="64" t="str">
        <f t="shared" si="172"/>
        <v>#REF!</v>
      </c>
      <c r="AA81" s="60">
        <f t="shared" si="173"/>
        <v>32</v>
      </c>
      <c r="AB81" s="66">
        <f t="shared" si="174"/>
        <v>19.2</v>
      </c>
      <c r="AC81" s="9"/>
      <c r="AD81" s="9"/>
      <c r="AE81" s="9"/>
      <c r="AF81" s="112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ht="15.75" customHeight="1">
      <c r="A82" s="57"/>
      <c r="B82" s="44" t="str">
        <f t="shared" ref="B82:C82" si="177">IF(B45="","",B45)</f>
        <v>Средняя</v>
      </c>
      <c r="C82" s="149" t="str">
        <f t="shared" si="177"/>
        <v>Разведение гантелей в стороны</v>
      </c>
      <c r="D82" s="46">
        <f t="shared" si="162"/>
        <v>0.4</v>
      </c>
      <c r="E82" s="47">
        <f t="shared" si="163"/>
        <v>2</v>
      </c>
      <c r="F82" s="48">
        <f t="shared" si="164"/>
        <v>2.8</v>
      </c>
      <c r="G82" s="49">
        <v>10.0</v>
      </c>
      <c r="H82" s="49">
        <v>1.0</v>
      </c>
      <c r="I82" s="50">
        <v>0.45</v>
      </c>
      <c r="J82" s="48">
        <f t="shared" si="165"/>
        <v>3.5</v>
      </c>
      <c r="K82" s="49">
        <v>8.0</v>
      </c>
      <c r="L82" s="49">
        <v>4.0</v>
      </c>
      <c r="M82" s="50">
        <v>0.57</v>
      </c>
      <c r="N82" s="48" t="str">
        <f t="shared" si="166"/>
        <v/>
      </c>
      <c r="O82" s="49"/>
      <c r="P82" s="49"/>
      <c r="Q82" s="50">
        <v>0.0</v>
      </c>
      <c r="R82" s="48" t="str">
        <f t="shared" si="167"/>
        <v/>
      </c>
      <c r="S82" s="49"/>
      <c r="T82" s="49"/>
      <c r="U82" s="51">
        <v>0.0</v>
      </c>
      <c r="V82" s="52">
        <f t="shared" si="168"/>
        <v>280</v>
      </c>
      <c r="W82" s="53">
        <f t="shared" si="169"/>
        <v>6.666666667</v>
      </c>
      <c r="X82" s="54">
        <f t="shared" si="170"/>
        <v>0.54</v>
      </c>
      <c r="Y82" s="137">
        <f t="shared" si="171"/>
        <v>6.1206</v>
      </c>
      <c r="Z82" s="53" t="str">
        <f t="shared" si="172"/>
        <v>#REF!</v>
      </c>
      <c r="AA82" s="49">
        <f t="shared" si="173"/>
        <v>42</v>
      </c>
      <c r="AB82" s="56">
        <f t="shared" si="174"/>
        <v>6.6</v>
      </c>
      <c r="AC82" s="9"/>
      <c r="AD82" s="9"/>
      <c r="AE82" s="9"/>
      <c r="AF82" s="112"/>
      <c r="AG82" s="9"/>
      <c r="AH82" s="9"/>
      <c r="AI82" s="9"/>
      <c r="AJ82" s="9"/>
      <c r="AK82" s="9"/>
      <c r="AL82" s="9"/>
      <c r="AM82" s="9"/>
      <c r="AN82" s="9"/>
      <c r="AO82" s="17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ht="15.75" customHeight="1">
      <c r="A83" s="72"/>
      <c r="B83" s="73" t="str">
        <f t="shared" ref="B83:C83" si="178">IF(B46="","",B46)</f>
        <v/>
      </c>
      <c r="C83" s="174" t="str">
        <f t="shared" si="178"/>
        <v>Разгибание рук на блоке</v>
      </c>
      <c r="D83" s="75">
        <f>ROUND(IFERROR((D77*(G77*H77+K77*L77+O77*P77+S77*T77)+D78*(G78*H78+K78*L78+O78*P78+S78*T78)+D79*(G79*H79+K79*L79+O79*P79+S79*T79)+D80*(G80*H80+K80*L80+O80*P80+S80*T80)+D81*(G81*H81+K81*L81+O81*P81+S81*T81)+D82*(G82*H82+K82*L82+O82*P82+S82*T82))/((G77*H77+K77*L77+O77*P77+S77*T77)+(G78*H78+K78*L78+O78*P78+S78*T78)+(G79*H79+K79*L79+O79*P79+S79*T79)+(G80*H80+K80*L80+O80*P80+S80*T80)+(G81*H81+K81*L81+O81*P81+S81*T81)+(G82*H82+K82*L82+O82*P82+S82*T82)),0),2)</f>
        <v>0.7</v>
      </c>
      <c r="E83" s="76" t="str">
        <f t="shared" si="163"/>
        <v/>
      </c>
      <c r="F83" s="77"/>
      <c r="G83" s="78"/>
      <c r="H83" s="78"/>
      <c r="I83" s="79"/>
      <c r="J83" s="77"/>
      <c r="K83" s="78"/>
      <c r="L83" s="78"/>
      <c r="M83" s="79"/>
      <c r="N83" s="77"/>
      <c r="O83" s="78"/>
      <c r="P83" s="78"/>
      <c r="Q83" s="79"/>
      <c r="R83" s="77"/>
      <c r="S83" s="78"/>
      <c r="T83" s="78"/>
      <c r="U83" s="80"/>
      <c r="V83" s="81">
        <f>SUM(V77:V82)</f>
        <v>4958.9</v>
      </c>
      <c r="W83" s="82">
        <f>IFERROR(V83/AA83,0)</f>
        <v>20.74853556</v>
      </c>
      <c r="X83" s="83">
        <f>ROUND(IFERROR(((I77*G77*H77+M77*K77*L77+Q77*O77*P77+U77*S77*T77)+(I78*G78*H78+M78*K78*L78+Q78*O78*P78+U78*S78*T78)+(I79*G79*H79+M79*K79*L79+Q79*O79*P79+U79*S79*T79)+(I80*G80*H80+M80*K80*L80+Q80*O80*P80+U80*S80*T80)+(I81*G81*H81+M81*K81*L81+Q81*O81*P81+U81*S81*T81)+(I82*G82*H82+M82*K82*L82+Q82*O82*P82+U82*S82*T82))/((G77*H77+K77*L77+O77*P77+S77*T77)+(G78*H78+K78*L78+O78*P78+S78*T78)+(G79*H79+K79*L79+O79*P79+S79*T79)+(G80*H80+K80*L80+O80*P80+S80*T80)+(G81*H81+K81*L81+O81*P81+S81*T81)+(G82*H82+K82*L82+O82*P82+S82*T82)),0),3)</f>
        <v>0.529</v>
      </c>
      <c r="Y83" s="84"/>
      <c r="Z83" s="82" t="str">
        <f t="shared" ref="Z83:AA83" si="179">SUM(Z77:Z82)</f>
        <v>#REF!</v>
      </c>
      <c r="AA83" s="85">
        <f t="shared" si="179"/>
        <v>239</v>
      </c>
      <c r="AB83" s="86">
        <f>IF(SUM(AB77:AB82)=0,TIME(,0,),TIME(,SUM(AB77:AB82)+30,))</f>
        <v>0.07013888889</v>
      </c>
      <c r="AC83" s="9"/>
      <c r="AD83" s="9"/>
      <c r="AE83" s="9"/>
      <c r="AF83" s="112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ht="14.25" customHeight="1">
      <c r="A84" s="88" t="s">
        <v>28</v>
      </c>
      <c r="B84" s="89" t="str">
        <f t="shared" ref="B84:C84" si="180">IF(B47="","",B47)</f>
        <v>Средняя</v>
      </c>
      <c r="C84" s="141" t="str">
        <f t="shared" si="180"/>
        <v>Румынская тяга</v>
      </c>
      <c r="D84" s="29">
        <f t="shared" ref="D84:D89" si="182">D47</f>
        <v>1</v>
      </c>
      <c r="E84" s="91" t="str">
        <f t="shared" si="163"/>
        <v/>
      </c>
      <c r="F84" s="92">
        <f t="shared" ref="F84:F89" si="183">IF(I84&lt;&gt;0,(IFERROR(IF($Y84&gt;50,MROUND($Y84*I84,2.5),IF($Y84&lt;15,MROUND($Y84*I84,0.1),MROUND($Y84*I84,1))),)),"")</f>
        <v>30</v>
      </c>
      <c r="G84" s="93">
        <v>10.0</v>
      </c>
      <c r="H84" s="93">
        <v>1.0</v>
      </c>
      <c r="I84" s="94">
        <v>0.55</v>
      </c>
      <c r="J84" s="92">
        <f t="shared" ref="J84:J89" si="184">IF(M84&lt;&gt;0,(IFERROR(IF($Y84&gt;50,MROUND($Y84*M84,2.5),IF($Y84&lt;15,MROUND($Y84*M84,0.1),MROUND($Y84*M84,1))),)),"")</f>
        <v>40</v>
      </c>
      <c r="K84" s="93">
        <v>8.0</v>
      </c>
      <c r="L84" s="93">
        <v>4.0</v>
      </c>
      <c r="M84" s="94">
        <v>0.7</v>
      </c>
      <c r="N84" s="92" t="str">
        <f t="shared" ref="N84:N89" si="185">IF(Q84&lt;&gt;0,(IFERROR(IF($Y84&gt;50,MROUND($Y84*Q84,2.5),IF($Y84&lt;15,MROUND($Y84*Q84,0.1),MROUND($Y84*Q84,1))),)),"")</f>
        <v/>
      </c>
      <c r="O84" s="93"/>
      <c r="P84" s="93"/>
      <c r="Q84" s="94">
        <v>0.0</v>
      </c>
      <c r="R84" s="92" t="str">
        <f t="shared" ref="R84:R89" si="186">IF(U84&lt;&gt;0,(IFERROR(IF($Y84&gt;50,MROUND($Y84*U84,2.5),IF($Y84&lt;15,MROUND($Y84*U84,0.1),MROUND($Y84*U84,1))),)),"")</f>
        <v/>
      </c>
      <c r="S84" s="93"/>
      <c r="T84" s="93"/>
      <c r="U84" s="94">
        <v>0.0</v>
      </c>
      <c r="V84" s="95">
        <f t="shared" ref="V84:V89" si="187">(IF(ISNUMBER(F84),F84,1)*G84*H84+IF(ISNUMBER(J84),J84,1)*K84*L84+IF(ISNUMBER(N84),N84,1)*O84*P84+IF(ISNUMBER(R84),R84,1)*S84*T84)*IF(ISNUMBER(E84),E84,1)</f>
        <v>1580</v>
      </c>
      <c r="W84" s="96">
        <f t="shared" ref="W84:W89" si="188">IFERROR((IF(ISNUMBER(F84),F84,1)*G84*H84+IF(ISNUMBER(J84),J84,1)*K84*L84+IF(ISNUMBER(N84),N84,1)*O84*P84+IF(ISNUMBER(R84),R84,1)*S84*T84)*IF(ISNUMBER(E84),E84,1)/(G84*H84+K84*L84+O84*P84+S84*T84),0)</f>
        <v>37.61904762</v>
      </c>
      <c r="X84" s="97">
        <f t="shared" ref="X84:X89" si="189">ROUND(IFERROR((W84/(Y84*IF(ISNUMBER(E84),E84,1))),0),2)</f>
        <v>0.67</v>
      </c>
      <c r="Y84" s="37">
        <f t="shared" ref="Y84:Y89" si="190">IF(ISNUMBER(Y47), Y47+(Y47*$Y$75),"")</f>
        <v>56.1055</v>
      </c>
      <c r="Z84" s="96" t="str">
        <f t="shared" ref="Z84:Z89" si="191">(IF(I84&lt;30%,0,IF(I84&lt;35%,F84*G84*H84*F!$B$33,IF(I84&lt;40%,F84*G84*H84*F!$B$38,IF(I84&lt;45%,F84*G84*H84*F!$B$43,IF(I84&lt;50%,F84*G84*H84*F!$B$48,IF(I84=50%,F84*G84*H84*F!$B$50,IF(I84=51%,F84*G84*H84*F!$B$51,IF(I84=52%,F84*G84*H84*F!$B$52,IF(I84=53%,F84*G84*H84*F!$B$53,IF(I84=54%,F84*G84*H84*F!$B$54,IF(I84=55%,F84*G84*H84*F!$B$55,IF(I84=56%,F84*G84*H84*F!$B$56,IF(I84=57%,F84*G84*H84*F!$B$57,IF(I84=58%,F84*G84*H84*F!$B$58,IF(I84=59%,F84*G84*H84*F!$B$59,IF(I84=60%,F84*G84*H84*F!$B$60,IF(I84=61%,F84*G84*H84*F!$B$61,IF(I84=62%,F84*G84*H84*F!$B$62,IF(I84=63%,F84*G84*H84*F!$B$63,IF(I84=64%,F84*G84*H84*F!$B$64,IF(I84=65%,F84*G84*H84*F!$B$65,IF(I84=66%,F84*G84*H84*F!$B$66,IF(I84=67%,F84*G84*H84*F!$B$67,IF(I84=68%,F84*G84*H84*F!$B$68,IF(I84=69%,F84*G84*H84*F!$B$69,IF(I84=70%,F84*G84*H84*F!$B$70,IF(I84=71%,F84*G84*H84*F!$B$71,IF(I84=72%,F84*G84*H84*F!$B$72,IF(I84=73%,F84*G84*H84*F!$B$73,IF(I84=74%,F84*G84*H84*F!$B$74,IF(I84=75%,F84*G84*H84*F!$B$75,IF(I84=76%,F84*G84*H84*F!$B$76,IF(I84=77%,F84*G84*H84*F!$B$77,IF(I84=78%,F84*G84*H84*F!$B$78,IF(I84=79%,F84*G84*H84*F!$B$79,IF(I84=80%,F84*G84*H84*F!$B$80,IF(I84=81%,F84*G84*H84*F!$B$81,IF(I84=82%,F84*G84*H84*F!$B$82,IF(I84=83%,F84*G84*H84*F!$B$83,IF(I84=84%,F84*G84*H84*F!$B$84,IF(I84=85%,F84*G84*H84*F!$B$85,IF(I84=86%,F84*G84*H84*F!$B$86,IF(I84=87%,F84*G84*H84*F!$B$87,IF(I84=88%,F84*G84*H84*F!$B$88,IF(I84=89%,F84*G84*H84*F!$B$89,IF(I84=90%,F84*G84*H84*F!$B$90,IF(I84=91%,F84*G84*H84*F!$B$91,IF(I84=92%,F84*G84*H84*F!$B$92,IF(I84=93%,F84*G84*H84*F!$B$93,IF(I84=94%,F84*G84*H84*F!$B$94,IF(I84=95%,F84*G84*H84*F!$B$95,IF(I84=96%,F84*G84*H84*F!$B$96,IF(I84=97%,F84*G84*H84*F!$B$97,IF(I84=98%,F84*G84*H84*F!$B$98,IF(I84=99%,F84*G84*H84*F!$B$99,IF(I84&gt;99%,F84*G84*H84*F!$B$100,))))))))))))))))))))))))))))))))))))))))))))))))))))))))+IF(M84&lt;30%,0,IF(M84&lt;35%,J84*K84*L84*F!$B$33,IF(M84&lt;40%,J84*K84*L84*F!$B$38,IF(M84&lt;45%,J84*K84*L84*F!$B$43,IF(M84&lt;50%,J84*K84*L84*F!$B$48,IF(M84=50%,J84*K84*L84*F!$B$50,IF(M84=51%,J84*K84*L84*F!$B$51,IF(M84=52%,J84*K84*L84*F!$B$52,IF(M84=53%,J84*K84*L84*F!$B$53,IF(M84=54%,J84*K84*L84*F!$B$54,IF(M84=55%,J84*K84*L84*F!$B$55,IF(M84=56%,J84*K84*L84*F!$B$56,IF(M84=57%,J84*K84*L84*F!$B$57,IF(M84=58%,J84*K84*L84*F!$B$58,IF(M84=59%,J84*K84*L84*F!$B$59,IF(M84=60%,J84*K84*L84*F!$B$60,IF(M84=61%,J84*K84*L84*F!$B$61,IF(M84=62%,J84*K84*L84*F!$B$62,IF(M84=63%,J84*K84*L84*F!$B$63,IF(M84=64%,J84*K84*L84*F!$B$64,IF(M84=65%,J84*K84*L84*F!$B$65,IF(M84=66%,J84*K84*L84*F!$B$66,IF(M84=67%,J84*K84*L84*F!$B$67,IF(M84=68%,J84*K84*L84*F!$B$68,IF(M84=69%,J84*K84*L84*F!$B$69,IF(M84=70%,J84*K84*L84*F!$B$70,IF(M84=71%,J84*K84*L84*F!$B$71,IF(M84=72%,J84*K84*L84*F!$B$72,IF(M84=73%,J84*K84*L84*F!$B$73,IF(M84=74%,J84*K84*L84*F!$B$74,IF(M84=75%,J84*K84*L84*F!$B$75,IF(M84=76%,J84*K84*L84*F!$B$76,IF(M84=77%,J84*K84*L84*F!$B$77,IF(M84=78%,J84*K84*L84*F!$B$78,IF(M84=79%,J84*K84*L84*F!$B$79,IF(M84=80%,J84*K84*L84*F!$B$80,IF(M84=81%,J84*K84*L84*F!$B$81,IF(M84=82%,J84*K84*L84*F!$B$82,IF(M84=83%,J84*K84*L84*F!$B$83,IF(M84=84%,J84*K84*L84*F!$B$84,IF(M84=85%,J84*K84*L84*F!$B$85,IF(M84=86%,J84*K84*L84*F!$B$86,IF(M84=87%,J84*K84*L84*F!$B$87,IF(M84=88%,J84*K84*L84*F!$B$88,IF(M84=89%,J84*K84*L84*F!$B$89,IF(M84=90%,J84*K84*L84*F!$B$90,IF(M84=91%,J84*K84*L84*F!$B$91,IF(M84=92%,J84*K84*L84*F!$B$92,IF(M84=93%,J84*K84*L84*F!$B$93,IF(M84=94%,J84*K84*L84*F!$B$94,IF(M84=95%,J84*K84*L84*F!$B$95,IF(M84=96%,J84*K84*L84*F!$B$96,IF(M84=97%,J84*K84*L84*F!$B$97,IF(M84=98%,J84*K84*L84*F!$B$98,IF(M84=99%,J84*K84*L84*F!$B$99,IF(M84&gt;99%,J84*K84*L84*F!$B$100,))))))))))))))))))))))))))))))))))))))))))))))))))))))))+IF(Q84&lt;30%,0,IF(Q84&lt;35%,N84*O84*P84*F!$B$33,IF(Q84&lt;40%,N84*O84*P84*F!$B$38,IF(Q84&lt;45%,N84*O84*P84*F!$B$43,IF(Q84&lt;50%,N84*O84*P84*F!$B$48,IF(Q84=50%,N84*O84*P84*F!$B$50,IF(Q84=51%,N84*O84*P84*F!$B$51,IF(Q84=52%,N84*O84*P84*F!$B$52,IF(Q84=53%,N84*O84*P84*F!$B$53,IF(Q84=54%,N84*O84*P84*F!$B$54,IF(Q84=55%,N84*O84*P84*F!$B$55,IF(Q84=56%,N84*O84*P84*F!$B$56,IF(Q84=57%,N84*O84*P84*F!$B$57,IF(Q84=58%,N84*O84*P84*F!$B$58,IF(Q84=59%,N84*O84*P84*F!$B$59,IF(Q84=60%,N84*O84*P84*F!$B$60,IF(Q84=61%,N84*O84*P84*F!$B$61,IF(Q84=62%,N84*O84*P84*F!$B$62,IF(Q84=63%,N84*O84*P84*F!$B$63,IF(Q84=64%,N84*O84*P84*F!$B$64,IF(Q84=65%,N84*O84*P84*F!$B$65,IF(Q84=66%,N84*O84*P84*F!$B$66,IF(Q84=67%,N84*O84*P84*F!$B$67,IF(Q84=68%,N84*O84*P84*F!$B$68,IF(Q84=69%,N84*O84*P84*F!$B$69,IF(Q84=70%,N84*O84*P84*F!$B$70,IF(Q84=71%,N84*O84*P84*F!$B$71,IF(Q84=72%,N84*O84*P84*F!$B$72,IF(Q84=73%,N84*O84*P84*F!$B$73,IF(Q84=74%,N84*O84*P84*F!$B$74,IF(Q84=75%,N84*O84*P84*F!$B$75,IF(Q84=76%,N84*O84*P84*F!$B$76,IF(Q84=77%,N84*O84*P84*F!$B$77,IF(Q84=78%,N84*O84*P84*F!$B$78,IF(Q84=79%,N84*O84*P84*F!$B$79,IF(Q84=80%,N84*O84*P84*F!$B$80,IF(Q84=81%,N84*O84*P84*F!$B$81,IF(Q84=82%,N84*O84*P84*F!$B$82,IF(Q84=83%,N84*O84*P84*F!$B$83,IF(Q84=84%,N84*O84*P84*F!$B$84,IF(Q84=85%,N84*O84*P84*F!$B$85,IF(Q84=86%,N84*O84*P84*F!$B$86,IF(Q84=87%,N84*O84*P84*F!$B$87,IF(Q84=88%,N84*O84*P84*F!$B$88,IF(Q84=89%,N84*O84*P84*F!$B$89,IF(Q84=90%,N84*O84*P84*F!$B$90,IF(Q84=91%,N84*O84*P84*F!$B$91,IF(Q84=92%,N84*O84*P84*F!$B$92,IF(Q84=93%,N84*O84*P84*F!$B$93,IF(Q84=94%,N84*O84*P84*F!$B$94,IF(Q84=95%,N84*O84*P84*F!$B$95,IF(Q84=96%,N84*O84*P84*F!$B$96,IF(Q84=97%,N84*O84*P84*F!$B$97,IF(Q84=98%,N84*O84*P84*F!$B$98,IF(Q84=99%,N84*O84*P84*F!$B$99,IF(Q84&gt;99%,N84*O84*P84*F!$B$100,))))))))))))))))))))))))))))))))))))))))))))))))))))))))+IF(U84&lt;30%,0,IF(U84&lt;35%,R84*S84*T84*F!$B$33,IF(U84&lt;40%,R84*S84*T84*F!$B$38,IF(U84&lt;45%,R84*S84*T84*F!$B$43,IF(U84&lt;50%,R84*S84*T84*F!$B$48,IF(U84=50%,R84*S84*T84*F!$B$50,IF(U84=51%,R84*S84*T84*F!$B$51,IF(U84=52%,R84*S84*T84*F!$B$52,IF(U84=53%,R84*S84*T84*F!$B$53,IF(U84=54%,R84*S84*T84*F!$B$54,IF(U84=55%,R84*S84*T84*F!$B$55,IF(U84=56%,R84*S84*T84*F!$B$56,IF(U84=57%,R84*S84*T84*F!$B$57,IF(U84=58%,R84*S84*T84*F!$B$58,IF(U84=59%,R84*S84*T84*F!$B$59,IF(U84=60%,R84*S84*T84*F!$B$60,IF(U84=61%,R84*S84*T84*F!$B$61,IF(U84=62%,R84*S84*T84*F!$B$62,IF(U84=63%,R84*S84*T84*F!$B$63,IF(U84=64%,R84*S84*T84*F!$B$64,IF(U84=65%,R84*S84*T84*F!$B$65,IF(U84=66%,R84*S84*T84*F!$B$66,IF(U84=67%,R84*S84*T84*F!$B$67,IF(U84=68%,R84*S84*T84*F!$B$68,IF(U84=69%,R84*S84*T84*F!$B$69,IF(U84=70%,R84*S84*T84*F!$B$70,IF(U84=71%,R84*S84*T84*F!$B$71,IF(U84=72%,R84*S84*T84*F!$B$72,IF(U84=73%,R84*S84*T84*F!$B$73,IF(U84=74%,R84*S84*T84*F!$B$74,IF(U84=75%,R84*S84*T84*F!$B$75,IF(U84=76%,R84*S84*T84*F!$B$76,IF(U84=77%,R84*S84*T84*F!$B$77,IF(U84=78%,R84*S84*T84*F!$B$78,IF(U84=79%,R84*S84*T84*F!$B$79,IF(U84=80%,R84*S84*T84*F!$B$80,IF(U84=81%,R84*S84*T84*F!$B$81,IF(U84=82%,R84*S84*T84*F!$B$82,IF(U84=83%,R84*S84*T84*F!$B$83,IF(U84=84%,R84*S84*T84*F!$B$84,IF(U84=85%,R84*S84*T84*F!$B$85,IF(U84=86%,R84*S84*T84*F!$B$86,IF(U84=87%,R84*S84*T84*F!$B$87,IF(U84=88%,R84*S84*T84*F!$B$88,IF(U84=89%,R84*S84*T84*F!$B$89,IF(U84=90%,R84*S84*T84*F!$B$90,IF(U84=91%,R84*S84*T84*F!$B$91,IF(U84=92%,R84*S84*T84*F!$B$92,IF(U84=93%,R84*S84*T84*F!$B$93,IF(U84=94%,R84*S84*T84*F!$B$94,IF(U84=95%,R84*S84*T84*F!$B$95,IF(U84=96%,R84*S84*T84*F!$B$96,IF(U84=97%,R84*S84*T84*F!$B$97,IF(U84=98%,R84*S84*T84*F!$B$98,IF(U84=99%,R84*S84*T84*F!$B$99,IF(U84&gt;99%,R84*S84*T84*F!$B$100)))))))))))))))))))))))))))))))))))))))))))))))))))))))))*IF(ISNUMBER(E84),E84,1)*IF(ISNUMBER(D84),D84,1)</f>
        <v>#REF!</v>
      </c>
      <c r="AA84" s="93">
        <f t="shared" ref="AA84:AA89" si="192">G84*H84+K84*L84+O84*P84+S84*T84</f>
        <v>42</v>
      </c>
      <c r="AB84" s="99">
        <f t="shared" ref="AB84:AB89" si="193">(H84*(IF(I84&lt;45%,0.5,IF(I84&lt;55%,0.8,IF(I84&lt;65%,0.9,IF(I84&lt;75%,1,IF(I84&lt;85%,1.1,1.2))))))+L84*(IF(M84&lt;45%,0.5,IF(M84&lt;55%,0.8,IF(M84&lt;65%,0.9,IF(M84&lt;75%,1,IF(M84&lt;85%,1.1,1.2))))))+P84*(IF(Q84&lt;45%,0.5,IF(Q84&lt;55%,0.8,IF(Q84&lt;65%,0.9,IF(Q84&lt;75%,1,IF(Q84&lt;85%,1.1,1.2))))))+T84*(IF(U84&lt;45%,0.5,IF(U84&lt;55%,0.8,IF(U84&lt;65%,0.9,IF(U84&lt;75%,1,IF(U84&lt;85%,1.1,1.2)))))))*IF(D84&gt;=0.8,6,IF(D84&lt;=0.4,1.5,3))</f>
        <v>29.4</v>
      </c>
      <c r="AC84" s="9"/>
      <c r="AD84" s="9"/>
      <c r="AE84" s="9"/>
      <c r="AF84" s="112"/>
      <c r="AG84" s="9"/>
      <c r="AH84" s="9"/>
      <c r="AI84" s="9"/>
      <c r="AJ84" s="9"/>
      <c r="AK84" s="113"/>
      <c r="AL84" s="113"/>
      <c r="AM84" s="113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ht="15.0" customHeight="1">
      <c r="A85" s="43">
        <f>A78+2</f>
        <v>42347</v>
      </c>
      <c r="B85" s="101" t="str">
        <f t="shared" ref="B85:C85" si="181">IF(B48="","",B48)</f>
        <v>Средняя</v>
      </c>
      <c r="C85" s="143" t="str">
        <f t="shared" si="181"/>
        <v>Выпады назад</v>
      </c>
      <c r="D85" s="46">
        <f t="shared" si="182"/>
        <v>1</v>
      </c>
      <c r="E85" s="144">
        <f t="shared" si="163"/>
        <v>2</v>
      </c>
      <c r="F85" s="59">
        <f t="shared" si="183"/>
        <v>7.9</v>
      </c>
      <c r="G85" s="60">
        <v>10.0</v>
      </c>
      <c r="H85" s="60">
        <v>1.0</v>
      </c>
      <c r="I85" s="61">
        <v>0.55</v>
      </c>
      <c r="J85" s="59">
        <f t="shared" si="184"/>
        <v>8.9</v>
      </c>
      <c r="K85" s="60">
        <v>10.0</v>
      </c>
      <c r="L85" s="60">
        <v>1.0</v>
      </c>
      <c r="M85" s="61">
        <v>0.62</v>
      </c>
      <c r="N85" s="59">
        <f t="shared" si="185"/>
        <v>10.3</v>
      </c>
      <c r="O85" s="60">
        <v>8.0</v>
      </c>
      <c r="P85" s="60">
        <v>1.0</v>
      </c>
      <c r="Q85" s="61">
        <v>0.72</v>
      </c>
      <c r="R85" s="59" t="str">
        <f t="shared" si="186"/>
        <v/>
      </c>
      <c r="S85" s="60"/>
      <c r="T85" s="60"/>
      <c r="U85" s="61">
        <v>0.0</v>
      </c>
      <c r="V85" s="104">
        <f t="shared" si="187"/>
        <v>500.8</v>
      </c>
      <c r="W85" s="64">
        <f t="shared" si="188"/>
        <v>17.88571429</v>
      </c>
      <c r="X85" s="65">
        <f t="shared" si="189"/>
        <v>0.63</v>
      </c>
      <c r="Y85" s="137">
        <f t="shared" si="190"/>
        <v>14.2814</v>
      </c>
      <c r="Z85" s="64" t="str">
        <f t="shared" si="191"/>
        <v>#REF!</v>
      </c>
      <c r="AA85" s="60">
        <f t="shared" si="192"/>
        <v>28</v>
      </c>
      <c r="AB85" s="66">
        <f t="shared" si="193"/>
        <v>16.8</v>
      </c>
      <c r="AC85" s="9"/>
      <c r="AD85" s="9"/>
      <c r="AE85" s="9"/>
      <c r="AF85" s="112"/>
      <c r="AG85" s="9"/>
      <c r="AH85" s="9"/>
      <c r="AI85" s="9"/>
      <c r="AJ85" s="9"/>
      <c r="AK85" s="113"/>
      <c r="AL85" s="113"/>
      <c r="AM85" s="113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ht="15.75" customHeight="1">
      <c r="A86" s="57"/>
      <c r="B86" s="101" t="str">
        <f t="shared" ref="B86:C86" si="194">IF(B49="","",B49)</f>
        <v>Легкая</v>
      </c>
      <c r="C86" s="143" t="str">
        <f t="shared" si="194"/>
        <v>Отведение ноги назад</v>
      </c>
      <c r="D86" s="46">
        <f t="shared" si="182"/>
        <v>0.3</v>
      </c>
      <c r="E86" s="144">
        <f t="shared" si="163"/>
        <v>4</v>
      </c>
      <c r="F86" s="105">
        <f t="shared" si="183"/>
        <v>2.3</v>
      </c>
      <c r="G86" s="106">
        <v>10.0</v>
      </c>
      <c r="H86" s="106">
        <v>4.0</v>
      </c>
      <c r="I86" s="107">
        <v>0.45</v>
      </c>
      <c r="J86" s="105" t="str">
        <f t="shared" si="184"/>
        <v/>
      </c>
      <c r="K86" s="106"/>
      <c r="L86" s="106"/>
      <c r="M86" s="107">
        <v>0.0</v>
      </c>
      <c r="N86" s="105" t="str">
        <f t="shared" si="185"/>
        <v/>
      </c>
      <c r="O86" s="106"/>
      <c r="P86" s="106"/>
      <c r="Q86" s="107">
        <v>0.0</v>
      </c>
      <c r="R86" s="105" t="str">
        <f t="shared" si="186"/>
        <v/>
      </c>
      <c r="S86" s="106"/>
      <c r="T86" s="106"/>
      <c r="U86" s="107">
        <v>0.0</v>
      </c>
      <c r="V86" s="108">
        <f t="shared" si="187"/>
        <v>368</v>
      </c>
      <c r="W86" s="109">
        <f t="shared" si="188"/>
        <v>9.2</v>
      </c>
      <c r="X86" s="110">
        <f t="shared" si="189"/>
        <v>0.45</v>
      </c>
      <c r="Y86" s="137">
        <f t="shared" si="190"/>
        <v>5.1005</v>
      </c>
      <c r="Z86" s="109" t="str">
        <f t="shared" si="191"/>
        <v>#REF!</v>
      </c>
      <c r="AA86" s="106">
        <f t="shared" si="192"/>
        <v>40</v>
      </c>
      <c r="AB86" s="111">
        <f t="shared" si="193"/>
        <v>4.8</v>
      </c>
      <c r="AC86" s="9"/>
      <c r="AD86" s="9"/>
      <c r="AE86" s="9"/>
      <c r="AF86" s="112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ht="15.75" customHeight="1">
      <c r="A87" s="57"/>
      <c r="B87" s="101" t="str">
        <f t="shared" ref="B87:C87" si="195">IF(B50="","",B50)</f>
        <v>Средняя</v>
      </c>
      <c r="C87" s="143" t="str">
        <f t="shared" si="195"/>
        <v>Тяга верхнего блока</v>
      </c>
      <c r="D87" s="46">
        <f t="shared" si="182"/>
        <v>0.3</v>
      </c>
      <c r="E87" s="144">
        <f t="shared" si="163"/>
        <v>4</v>
      </c>
      <c r="F87" s="59">
        <f t="shared" si="183"/>
        <v>3.7</v>
      </c>
      <c r="G87" s="60">
        <v>10.0</v>
      </c>
      <c r="H87" s="60">
        <v>1.0</v>
      </c>
      <c r="I87" s="61">
        <v>0.45</v>
      </c>
      <c r="J87" s="59">
        <f t="shared" si="184"/>
        <v>4.5</v>
      </c>
      <c r="K87" s="60">
        <v>10.0</v>
      </c>
      <c r="L87" s="60">
        <v>3.0</v>
      </c>
      <c r="M87" s="61">
        <v>0.55</v>
      </c>
      <c r="N87" s="59" t="str">
        <f t="shared" si="185"/>
        <v/>
      </c>
      <c r="O87" s="60"/>
      <c r="P87" s="60"/>
      <c r="Q87" s="61">
        <v>0.0</v>
      </c>
      <c r="R87" s="59" t="str">
        <f t="shared" si="186"/>
        <v/>
      </c>
      <c r="S87" s="60"/>
      <c r="T87" s="60"/>
      <c r="U87" s="61">
        <v>0.0</v>
      </c>
      <c r="V87" s="104">
        <f t="shared" si="187"/>
        <v>688</v>
      </c>
      <c r="W87" s="64">
        <f t="shared" si="188"/>
        <v>17.2</v>
      </c>
      <c r="X87" s="65">
        <f t="shared" si="189"/>
        <v>0.53</v>
      </c>
      <c r="Y87" s="137">
        <f t="shared" si="190"/>
        <v>8.1608</v>
      </c>
      <c r="Z87" s="64" t="str">
        <f t="shared" si="191"/>
        <v>#REF!</v>
      </c>
      <c r="AA87" s="60">
        <f t="shared" si="192"/>
        <v>40</v>
      </c>
      <c r="AB87" s="66">
        <f t="shared" si="193"/>
        <v>5.25</v>
      </c>
      <c r="AC87" s="9"/>
      <c r="AD87" s="9"/>
      <c r="AE87" s="9"/>
      <c r="AF87" s="112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ht="15.75" customHeight="1">
      <c r="A88" s="57"/>
      <c r="B88" s="101" t="str">
        <f t="shared" ref="B88:C88" si="196">IF(B51="","",B51)</f>
        <v>Тяжелая</v>
      </c>
      <c r="C88" s="143" t="str">
        <f t="shared" si="196"/>
        <v>Тяга горизонтального блока</v>
      </c>
      <c r="D88" s="46">
        <f t="shared" si="182"/>
        <v>0.3</v>
      </c>
      <c r="E88" s="144">
        <f t="shared" si="163"/>
        <v>4</v>
      </c>
      <c r="F88" s="105">
        <f t="shared" si="183"/>
        <v>5</v>
      </c>
      <c r="G88" s="106">
        <v>10.0</v>
      </c>
      <c r="H88" s="106">
        <v>1.0</v>
      </c>
      <c r="I88" s="107">
        <v>0.55</v>
      </c>
      <c r="J88" s="105">
        <f t="shared" si="184"/>
        <v>6.2</v>
      </c>
      <c r="K88" s="106">
        <v>10.0</v>
      </c>
      <c r="L88" s="106">
        <v>3.0</v>
      </c>
      <c r="M88" s="107">
        <v>0.68</v>
      </c>
      <c r="N88" s="105" t="str">
        <f t="shared" si="185"/>
        <v/>
      </c>
      <c r="O88" s="106"/>
      <c r="P88" s="106"/>
      <c r="Q88" s="107">
        <v>0.0</v>
      </c>
      <c r="R88" s="105" t="str">
        <f t="shared" si="186"/>
        <v/>
      </c>
      <c r="S88" s="106"/>
      <c r="T88" s="106"/>
      <c r="U88" s="107">
        <v>0.0</v>
      </c>
      <c r="V88" s="108">
        <f t="shared" si="187"/>
        <v>944</v>
      </c>
      <c r="W88" s="109">
        <f t="shared" si="188"/>
        <v>23.6</v>
      </c>
      <c r="X88" s="117">
        <f t="shared" si="189"/>
        <v>0.64</v>
      </c>
      <c r="Y88" s="137">
        <f t="shared" si="190"/>
        <v>9.1809</v>
      </c>
      <c r="Z88" s="109" t="str">
        <f t="shared" si="191"/>
        <v>#REF!</v>
      </c>
      <c r="AA88" s="106">
        <f t="shared" si="192"/>
        <v>40</v>
      </c>
      <c r="AB88" s="111">
        <f t="shared" si="193"/>
        <v>5.85</v>
      </c>
      <c r="AC88" s="9"/>
      <c r="AD88" s="9"/>
      <c r="AE88" s="9"/>
      <c r="AF88" s="112"/>
      <c r="AG88" s="9"/>
      <c r="AH88" s="9"/>
      <c r="AI88" s="9"/>
      <c r="AJ88" s="9"/>
      <c r="AK88" s="9"/>
      <c r="AL88" s="164"/>
      <c r="AM88" s="164"/>
      <c r="AN88" s="168"/>
      <c r="AO88" s="168"/>
      <c r="AP88" s="168"/>
      <c r="AQ88" s="169"/>
      <c r="AR88" s="169"/>
      <c r="AS88" s="169"/>
      <c r="AT88" s="16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ht="15.75" customHeight="1">
      <c r="A89" s="57"/>
      <c r="B89" s="101" t="str">
        <f t="shared" ref="B89:C89" si="197">IF(B52="","",B52)</f>
        <v>Легкая</v>
      </c>
      <c r="C89" s="143" t="str">
        <f t="shared" si="197"/>
        <v>Разведения в тренажёре на заднюю дельту</v>
      </c>
      <c r="D89" s="46">
        <f t="shared" si="182"/>
        <v>0.3</v>
      </c>
      <c r="E89" s="144">
        <f t="shared" si="163"/>
        <v>4</v>
      </c>
      <c r="F89" s="59">
        <f t="shared" si="183"/>
        <v>1.7</v>
      </c>
      <c r="G89" s="60">
        <v>12.0</v>
      </c>
      <c r="H89" s="60">
        <v>4.0</v>
      </c>
      <c r="I89" s="61">
        <v>0.41</v>
      </c>
      <c r="J89" s="59" t="str">
        <f t="shared" si="184"/>
        <v/>
      </c>
      <c r="K89" s="60"/>
      <c r="L89" s="60"/>
      <c r="M89" s="61">
        <v>0.0</v>
      </c>
      <c r="N89" s="59" t="str">
        <f t="shared" si="185"/>
        <v/>
      </c>
      <c r="O89" s="60"/>
      <c r="P89" s="60"/>
      <c r="Q89" s="61">
        <v>0.0</v>
      </c>
      <c r="R89" s="59" t="str">
        <f t="shared" si="186"/>
        <v/>
      </c>
      <c r="S89" s="60"/>
      <c r="T89" s="60"/>
      <c r="U89" s="61">
        <v>0.0</v>
      </c>
      <c r="V89" s="104">
        <f t="shared" si="187"/>
        <v>326.4</v>
      </c>
      <c r="W89" s="64">
        <f t="shared" si="188"/>
        <v>6.8</v>
      </c>
      <c r="X89" s="65">
        <f t="shared" si="189"/>
        <v>0.42</v>
      </c>
      <c r="Y89" s="137">
        <f t="shared" si="190"/>
        <v>4.0804</v>
      </c>
      <c r="Z89" s="64" t="str">
        <f t="shared" si="191"/>
        <v>#REF!</v>
      </c>
      <c r="AA89" s="60">
        <f t="shared" si="192"/>
        <v>48</v>
      </c>
      <c r="AB89" s="66">
        <f t="shared" si="193"/>
        <v>3</v>
      </c>
      <c r="AC89" s="9"/>
      <c r="AD89" s="9"/>
      <c r="AE89" s="9"/>
      <c r="AF89" s="112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ht="15.75" customHeight="1">
      <c r="A90" s="72"/>
      <c r="B90" s="119" t="str">
        <f t="shared" ref="B90:C90" si="198">IF(B53="","",B53)</f>
        <v/>
      </c>
      <c r="C90" s="146" t="str">
        <f t="shared" si="198"/>
        <v>Сгибания рук с гантелями</v>
      </c>
      <c r="D90" s="75">
        <f>ROUND(IFERROR((D84*(G84*H84+K84*L84+O84*P84+S84*T84)+D85*(G85*H85+K85*L85+O85*P85+S85*T85)+D86*(G86*H86+K86*L86+O86*P86+S86*T86)+D87*(G87*H87+K87*L87+O87*P87+S87*T87)+D88*(G88*H88+K88*L88+O88*P88+S88*T88)+D89*(G89*H89+K89*L89+O89*P89+S89*T89))/((G84*H84+K84*L84+O84*P84+S84*T84)+(G85*H85+K85*L85+O85*P85+S85*T85)+(G86*H86+K86*L86+O86*P86+S86*T86)+(G87*H87+K87*L87+O87*P87+S87*T87)+(G88*H88+K88*L88+O88*P88+S88*T88)+(G89*H89+K89*L89+O89*P89+S89*T89)),0),2)</f>
        <v>0.51</v>
      </c>
      <c r="E90" s="121" t="str">
        <f t="shared" si="163"/>
        <v/>
      </c>
      <c r="F90" s="122"/>
      <c r="G90" s="123"/>
      <c r="H90" s="123"/>
      <c r="I90" s="124"/>
      <c r="J90" s="122"/>
      <c r="K90" s="123"/>
      <c r="L90" s="123"/>
      <c r="M90" s="124"/>
      <c r="N90" s="122"/>
      <c r="O90" s="123"/>
      <c r="P90" s="123"/>
      <c r="Q90" s="124"/>
      <c r="R90" s="122"/>
      <c r="S90" s="123"/>
      <c r="T90" s="123"/>
      <c r="U90" s="124"/>
      <c r="V90" s="125">
        <f>SUM(V84:V89)</f>
        <v>4407.2</v>
      </c>
      <c r="W90" s="82">
        <f>IFERROR(V90/AA90,0)</f>
        <v>18.51764706</v>
      </c>
      <c r="X90" s="83">
        <f>ROUND(IFERROR(((I84*G84*H84+M84*K84*L84+Q84*O84*P84+U84*S84*T84)+(I85*G85*H85+M85*K85*L85+Q85*O85*P85+U85*S85*T85)+(I86*G86*H86+M86*K86*L86+Q86*O86*P86+U86*S86*T86)+(I87*G87*H87+M87*K87*L87+Q87*O87*P87+U87*S87*T87)+(I88*G88*H88+M88*K88*L88+Q88*O88*P88+U88*S88*T88)+(I89*G89*H89+M89*K89*L89+Q89*O89*P89+U89*S89*T89))/((G84*H84+K84*L84+O84*P84+S84*T84)+(G85*H85+K85*L85+O85*P85+S85*T85)+(G86*H86+K86*L86+O86*P86+S86*T86)+(G87*H87+K87*L87+O87*P87+S87*T87)+(G88*H88+K88*L88+O88*P88+S88*T88)+(G89*H89+K89*L89+O89*P89+S89*T89)),0),3)</f>
        <v>0.546</v>
      </c>
      <c r="Y90" s="84"/>
      <c r="Z90" s="82" t="str">
        <f t="shared" ref="Z90:AA90" si="199">SUM(Z84:Z89)</f>
        <v>#REF!</v>
      </c>
      <c r="AA90" s="85">
        <f t="shared" si="199"/>
        <v>238</v>
      </c>
      <c r="AB90" s="86">
        <f>IF(SUM(AB84:AB89)=0,TIME(,0,),TIME(,SUM(AB84:AB89)+30,))</f>
        <v>0.06597222222</v>
      </c>
      <c r="AC90" s="9"/>
      <c r="AD90" s="9"/>
      <c r="AE90" s="9"/>
      <c r="AF90" s="112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ht="15.75" customHeight="1">
      <c r="A91" s="126" t="s">
        <v>36</v>
      </c>
      <c r="B91" s="127" t="str">
        <f t="shared" ref="B91:C91" si="200">IF(B54="","",B54)</f>
        <v>Средняя</v>
      </c>
      <c r="C91" s="176" t="str">
        <f t="shared" si="200"/>
        <v>Ягодичный мост</v>
      </c>
      <c r="D91" s="29">
        <f t="shared" ref="D91:D96" si="202">D54</f>
        <v>1.3</v>
      </c>
      <c r="E91" s="129" t="str">
        <f t="shared" si="163"/>
        <v/>
      </c>
      <c r="F91" s="31">
        <f t="shared" ref="F91:F96" si="203">IF(I91&lt;&gt;0,(IFERROR(IF($Y91&gt;50,MROUND($Y91*I91,2.5),IF($Y91&lt;15,MROUND($Y91*I91,0.1),MROUND($Y91*I91,1))),)),"")</f>
        <v>55</v>
      </c>
      <c r="G91" s="32">
        <v>12.0</v>
      </c>
      <c r="H91" s="32">
        <v>4.0</v>
      </c>
      <c r="I91" s="33">
        <v>0.55</v>
      </c>
      <c r="J91" s="31">
        <f t="shared" ref="J91:J96" si="204">IF(M91&lt;&gt;0,(IFERROR(IF($Y91&gt;50,MROUND($Y91*M91,2.5),IF($Y91&lt;15,MROUND($Y91*M91,0.1),MROUND($Y91*M91,1))),)),"")</f>
        <v>65</v>
      </c>
      <c r="K91" s="32">
        <v>10.0</v>
      </c>
      <c r="L91" s="32">
        <v>1.0</v>
      </c>
      <c r="M91" s="33">
        <v>0.63</v>
      </c>
      <c r="N91" s="31" t="str">
        <f t="shared" ref="N91:N96" si="205">IF(Q91&lt;&gt;0,(IFERROR(IF($Y91&gt;50,MROUND($Y91*Q91,2.5),IF($Y91&lt;15,MROUND($Y91*Q91,0.1),MROUND($Y91*Q91,1))),)),"")</f>
        <v/>
      </c>
      <c r="O91" s="32"/>
      <c r="P91" s="32"/>
      <c r="Q91" s="33">
        <v>0.0</v>
      </c>
      <c r="R91" s="31" t="str">
        <f t="shared" ref="R91:R96" si="206">IF(U91&lt;&gt;0,(IFERROR(IF($Y91&gt;50,MROUND($Y91*U91,2.5),IF($Y91&lt;15,MROUND($Y91*U91,0.1),MROUND($Y91*U91,1))),)),"")</f>
        <v/>
      </c>
      <c r="S91" s="32"/>
      <c r="T91" s="32"/>
      <c r="U91" s="33">
        <v>0.0</v>
      </c>
      <c r="V91" s="130">
        <f t="shared" ref="V91:V96" si="207">(IF(ISNUMBER(F91),F91,1)*G91*H91+IF(ISNUMBER(J91),J91,1)*K91*L91+IF(ISNUMBER(N91),N91,1)*O91*P91+IF(ISNUMBER(R91),R91,1)*S91*T91)*IF(ISNUMBER(E91),E91,1)</f>
        <v>3290</v>
      </c>
      <c r="W91" s="36">
        <f t="shared" ref="W91:W96" si="208">IFERROR((IF(ISNUMBER(F91),F91,1)*G91*H91+IF(ISNUMBER(J91),J91,1)*K91*L91+IF(ISNUMBER(N91),N91,1)*O91*P91+IF(ISNUMBER(R91),R91,1)*S91*T91)*IF(ISNUMBER(E91),E91,1)/(G91*H91+K91*L91+O91*P91+S91*T91),0)</f>
        <v>56.72413793</v>
      </c>
      <c r="X91" s="34">
        <f t="shared" ref="X91:X96" si="209">ROUND(IFERROR((W91/(Y91*IF(ISNUMBER(E91),E91,1))),0),2)</f>
        <v>0.56</v>
      </c>
      <c r="Y91" s="37">
        <f t="shared" ref="Y91:Y96" si="210">IF(ISNUMBER(Y54), Y54+(Y54*$Y$75),"")</f>
        <v>102.01</v>
      </c>
      <c r="Z91" s="36" t="str">
        <f t="shared" ref="Z91:Z96" si="211">(IF(I91&lt;30%,0,IF(I91&lt;35%,F91*G91*H91*F!$B$33,IF(I91&lt;40%,F91*G91*H91*F!$B$38,IF(I91&lt;45%,F91*G91*H91*F!$B$43,IF(I91&lt;50%,F91*G91*H91*F!$B$48,IF(I91=50%,F91*G91*H91*F!$B$50,IF(I91=51%,F91*G91*H91*F!$B$51,IF(I91=52%,F91*G91*H91*F!$B$52,IF(I91=53%,F91*G91*H91*F!$B$53,IF(I91=54%,F91*G91*H91*F!$B$54,IF(I91=55%,F91*G91*H91*F!$B$55,IF(I91=56%,F91*G91*H91*F!$B$56,IF(I91=57%,F91*G91*H91*F!$B$57,IF(I91=58%,F91*G91*H91*F!$B$58,IF(I91=59%,F91*G91*H91*F!$B$59,IF(I91=60%,F91*G91*H91*F!$B$60,IF(I91=61%,F91*G91*H91*F!$B$61,IF(I91=62%,F91*G91*H91*F!$B$62,IF(I91=63%,F91*G91*H91*F!$B$63,IF(I91=64%,F91*G91*H91*F!$B$64,IF(I91=65%,F91*G91*H91*F!$B$65,IF(I91=66%,F91*G91*H91*F!$B$66,IF(I91=67%,F91*G91*H91*F!$B$67,IF(I91=68%,F91*G91*H91*F!$B$68,IF(I91=69%,F91*G91*H91*F!$B$69,IF(I91=70%,F91*G91*H91*F!$B$70,IF(I91=71%,F91*G91*H91*F!$B$71,IF(I91=72%,F91*G91*H91*F!$B$72,IF(I91=73%,F91*G91*H91*F!$B$73,IF(I91=74%,F91*G91*H91*F!$B$74,IF(I91=75%,F91*G91*H91*F!$B$75,IF(I91=76%,F91*G91*H91*F!$B$76,IF(I91=77%,F91*G91*H91*F!$B$77,IF(I91=78%,F91*G91*H91*F!$B$78,IF(I91=79%,F91*G91*H91*F!$B$79,IF(I91=80%,F91*G91*H91*F!$B$80,IF(I91=81%,F91*G91*H91*F!$B$81,IF(I91=82%,F91*G91*H91*F!$B$82,IF(I91=83%,F91*G91*H91*F!$B$83,IF(I91=84%,F91*G91*H91*F!$B$84,IF(I91=85%,F91*G91*H91*F!$B$85,IF(I91=86%,F91*G91*H91*F!$B$86,IF(I91=87%,F91*G91*H91*F!$B$87,IF(I91=88%,F91*G91*H91*F!$B$88,IF(I91=89%,F91*G91*H91*F!$B$89,IF(I91=90%,F91*G91*H91*F!$B$90,IF(I91=91%,F91*G91*H91*F!$B$91,IF(I91=92%,F91*G91*H91*F!$B$92,IF(I91=93%,F91*G91*H91*F!$B$93,IF(I91=94%,F91*G91*H91*F!$B$94,IF(I91=95%,F91*G91*H91*F!$B$95,IF(I91=96%,F91*G91*H91*F!$B$96,IF(I91=97%,F91*G91*H91*F!$B$97,IF(I91=98%,F91*G91*H91*F!$B$98,IF(I91=99%,F91*G91*H91*F!$B$99,IF(I91&gt;99%,F91*G91*H91*F!$B$100,))))))))))))))))))))))))))))))))))))))))))))))))))))))))+IF(M91&lt;30%,0,IF(M91&lt;35%,J91*K91*L91*F!$B$33,IF(M91&lt;40%,J91*K91*L91*F!$B$38,IF(M91&lt;45%,J91*K91*L91*F!$B$43,IF(M91&lt;50%,J91*K91*L91*F!$B$48,IF(M91=50%,J91*K91*L91*F!$B$50,IF(M91=51%,J91*K91*L91*F!$B$51,IF(M91=52%,J91*K91*L91*F!$B$52,IF(M91=53%,J91*K91*L91*F!$B$53,IF(M91=54%,J91*K91*L91*F!$B$54,IF(M91=55%,J91*K91*L91*F!$B$55,IF(M91=56%,J91*K91*L91*F!$B$56,IF(M91=57%,J91*K91*L91*F!$B$57,IF(M91=58%,J91*K91*L91*F!$B$58,IF(M91=59%,J91*K91*L91*F!$B$59,IF(M91=60%,J91*K91*L91*F!$B$60,IF(M91=61%,J91*K91*L91*F!$B$61,IF(M91=62%,J91*K91*L91*F!$B$62,IF(M91=63%,J91*K91*L91*F!$B$63,IF(M91=64%,J91*K91*L91*F!$B$64,IF(M91=65%,J91*K91*L91*F!$B$65,IF(M91=66%,J91*K91*L91*F!$B$66,IF(M91=67%,J91*K91*L91*F!$B$67,IF(M91=68%,J91*K91*L91*F!$B$68,IF(M91=69%,J91*K91*L91*F!$B$69,IF(M91=70%,J91*K91*L91*F!$B$70,IF(M91=71%,J91*K91*L91*F!$B$71,IF(M91=72%,J91*K91*L91*F!$B$72,IF(M91=73%,J91*K91*L91*F!$B$73,IF(M91=74%,J91*K91*L91*F!$B$74,IF(M91=75%,J91*K91*L91*F!$B$75,IF(M91=76%,J91*K91*L91*F!$B$76,IF(M91=77%,J91*K91*L91*F!$B$77,IF(M91=78%,J91*K91*L91*F!$B$78,IF(M91=79%,J91*K91*L91*F!$B$79,IF(M91=80%,J91*K91*L91*F!$B$80,IF(M91=81%,J91*K91*L91*F!$B$81,IF(M91=82%,J91*K91*L91*F!$B$82,IF(M91=83%,J91*K91*L91*F!$B$83,IF(M91=84%,J91*K91*L91*F!$B$84,IF(M91=85%,J91*K91*L91*F!$B$85,IF(M91=86%,J91*K91*L91*F!$B$86,IF(M91=87%,J91*K91*L91*F!$B$87,IF(M91=88%,J91*K91*L91*F!$B$88,IF(M91=89%,J91*K91*L91*F!$B$89,IF(M91=90%,J91*K91*L91*F!$B$90,IF(M91=91%,J91*K91*L91*F!$B$91,IF(M91=92%,J91*K91*L91*F!$B$92,IF(M91=93%,J91*K91*L91*F!$B$93,IF(M91=94%,J91*K91*L91*F!$B$94,IF(M91=95%,J91*K91*L91*F!$B$95,IF(M91=96%,J91*K91*L91*F!$B$96,IF(M91=97%,J91*K91*L91*F!$B$97,IF(M91=98%,J91*K91*L91*F!$B$98,IF(M91=99%,J91*K91*L91*F!$B$99,IF(M91&gt;99%,J91*K91*L91*F!$B$100,))))))))))))))))))))))))))))))))))))))))))))))))))))))))+IF(Q91&lt;30%,0,IF(Q91&lt;35%,N91*O91*P91*F!$B$33,IF(Q91&lt;40%,N91*O91*P91*F!$B$38,IF(Q91&lt;45%,N91*O91*P91*F!$B$43,IF(Q91&lt;50%,N91*O91*P91*F!$B$48,IF(Q91=50%,N91*O91*P91*F!$B$50,IF(Q91=51%,N91*O91*P91*F!$B$51,IF(Q91=52%,N91*O91*P91*F!$B$52,IF(Q91=53%,N91*O91*P91*F!$B$53,IF(Q91=54%,N91*O91*P91*F!$B$54,IF(Q91=55%,N91*O91*P91*F!$B$55,IF(Q91=56%,N91*O91*P91*F!$B$56,IF(Q91=57%,N91*O91*P91*F!$B$57,IF(Q91=58%,N91*O91*P91*F!$B$58,IF(Q91=59%,N91*O91*P91*F!$B$59,IF(Q91=60%,N91*O91*P91*F!$B$60,IF(Q91=61%,N91*O91*P91*F!$B$61,IF(Q91=62%,N91*O91*P91*F!$B$62,IF(Q91=63%,N91*O91*P91*F!$B$63,IF(Q91=64%,N91*O91*P91*F!$B$64,IF(Q91=65%,N91*O91*P91*F!$B$65,IF(Q91=66%,N91*O91*P91*F!$B$66,IF(Q91=67%,N91*O91*P91*F!$B$67,IF(Q91=68%,N91*O91*P91*F!$B$68,IF(Q91=69%,N91*O91*P91*F!$B$69,IF(Q91=70%,N91*O91*P91*F!$B$70,IF(Q91=71%,N91*O91*P91*F!$B$71,IF(Q91=72%,N91*O91*P91*F!$B$72,IF(Q91=73%,N91*O91*P91*F!$B$73,IF(Q91=74%,N91*O91*P91*F!$B$74,IF(Q91=75%,N91*O91*P91*F!$B$75,IF(Q91=76%,N91*O91*P91*F!$B$76,IF(Q91=77%,N91*O91*P91*F!$B$77,IF(Q91=78%,N91*O91*P91*F!$B$78,IF(Q91=79%,N91*O91*P91*F!$B$79,IF(Q91=80%,N91*O91*P91*F!$B$80,IF(Q91=81%,N91*O91*P91*F!$B$81,IF(Q91=82%,N91*O91*P91*F!$B$82,IF(Q91=83%,N91*O91*P91*F!$B$83,IF(Q91=84%,N91*O91*P91*F!$B$84,IF(Q91=85%,N91*O91*P91*F!$B$85,IF(Q91=86%,N91*O91*P91*F!$B$86,IF(Q91=87%,N91*O91*P91*F!$B$87,IF(Q91=88%,N91*O91*P91*F!$B$88,IF(Q91=89%,N91*O91*P91*F!$B$89,IF(Q91=90%,N91*O91*P91*F!$B$90,IF(Q91=91%,N91*O91*P91*F!$B$91,IF(Q91=92%,N91*O91*P91*F!$B$92,IF(Q91=93%,N91*O91*P91*F!$B$93,IF(Q91=94%,N91*O91*P91*F!$B$94,IF(Q91=95%,N91*O91*P91*F!$B$95,IF(Q91=96%,N91*O91*P91*F!$B$96,IF(Q91=97%,N91*O91*P91*F!$B$97,IF(Q91=98%,N91*O91*P91*F!$B$98,IF(Q91=99%,N91*O91*P91*F!$B$99,IF(Q91&gt;99%,N91*O91*P91*F!$B$100,))))))))))))))))))))))))))))))))))))))))))))))))))))))))+IF(U91&lt;30%,0,IF(U91&lt;35%,R91*S91*T91*F!$B$33,IF(U91&lt;40%,R91*S91*T91*F!$B$38,IF(U91&lt;45%,R91*S91*T91*F!$B$43,IF(U91&lt;50%,R91*S91*T91*F!$B$48,IF(U91=50%,R91*S91*T91*F!$B$50,IF(U91=51%,R91*S91*T91*F!$B$51,IF(U91=52%,R91*S91*T91*F!$B$52,IF(U91=53%,R91*S91*T91*F!$B$53,IF(U91=54%,R91*S91*T91*F!$B$54,IF(U91=55%,R91*S91*T91*F!$B$55,IF(U91=56%,R91*S91*T91*F!$B$56,IF(U91=57%,R91*S91*T91*F!$B$57,IF(U91=58%,R91*S91*T91*F!$B$58,IF(U91=59%,R91*S91*T91*F!$B$59,IF(U91=60%,R91*S91*T91*F!$B$60,IF(U91=61%,R91*S91*T91*F!$B$61,IF(U91=62%,R91*S91*T91*F!$B$62,IF(U91=63%,R91*S91*T91*F!$B$63,IF(U91=64%,R91*S91*T91*F!$B$64,IF(U91=65%,R91*S91*T91*F!$B$65,IF(U91=66%,R91*S91*T91*F!$B$66,IF(U91=67%,R91*S91*T91*F!$B$67,IF(U91=68%,R91*S91*T91*F!$B$68,IF(U91=69%,R91*S91*T91*F!$B$69,IF(U91=70%,R91*S91*T91*F!$B$70,IF(U91=71%,R91*S91*T91*F!$B$71,IF(U91=72%,R91*S91*T91*F!$B$72,IF(U91=73%,R91*S91*T91*F!$B$73,IF(U91=74%,R91*S91*T91*F!$B$74,IF(U91=75%,R91*S91*T91*F!$B$75,IF(U91=76%,R91*S91*T91*F!$B$76,IF(U91=77%,R91*S91*T91*F!$B$77,IF(U91=78%,R91*S91*T91*F!$B$78,IF(U91=79%,R91*S91*T91*F!$B$79,IF(U91=80%,R91*S91*T91*F!$B$80,IF(U91=81%,R91*S91*T91*F!$B$81,IF(U91=82%,R91*S91*T91*F!$B$82,IF(U91=83%,R91*S91*T91*F!$B$83,IF(U91=84%,R91*S91*T91*F!$B$84,IF(U91=85%,R91*S91*T91*F!$B$85,IF(U91=86%,R91*S91*T91*F!$B$86,IF(U91=87%,R91*S91*T91*F!$B$87,IF(U91=88%,R91*S91*T91*F!$B$88,IF(U91=89%,R91*S91*T91*F!$B$89,IF(U91=90%,R91*S91*T91*F!$B$90,IF(U91=91%,R91*S91*T91*F!$B$91,IF(U91=92%,R91*S91*T91*F!$B$92,IF(U91=93%,R91*S91*T91*F!$B$93,IF(U91=94%,R91*S91*T91*F!$B$94,IF(U91=95%,R91*S91*T91*F!$B$95,IF(U91=96%,R91*S91*T91*F!$B$96,IF(U91=97%,R91*S91*T91*F!$B$97,IF(U91=98%,R91*S91*T91*F!$B$98,IF(U91=99%,R91*S91*T91*F!$B$99,IF(U91&gt;99%,R91*S91*T91*F!$B$100)))))))))))))))))))))))))))))))))))))))))))))))))))))))))*IF(ISNUMBER(E91),E91,1)*IF(ISNUMBER(D91),D91,1)</f>
        <v>#REF!</v>
      </c>
      <c r="AA91" s="32">
        <f t="shared" ref="AA91:AA96" si="212">G91*H91+K91*L91+O91*P91+S91*T91</f>
        <v>58</v>
      </c>
      <c r="AB91" s="38">
        <f t="shared" ref="AB91:AB96" si="213">(H91*(IF(I91&lt;45%,0.5,IF(I91&lt;55%,0.8,IF(I91&lt;65%,0.9,IF(I91&lt;75%,1,IF(I91&lt;85%,1.1,1.2))))))+L91*(IF(M91&lt;45%,0.5,IF(M91&lt;55%,0.8,IF(M91&lt;65%,0.9,IF(M91&lt;75%,1,IF(M91&lt;85%,1.1,1.2))))))+P91*(IF(Q91&lt;45%,0.5,IF(Q91&lt;55%,0.8,IF(Q91&lt;65%,0.9,IF(Q91&lt;75%,1,IF(Q91&lt;85%,1.1,1.2))))))+T91*(IF(U91&lt;45%,0.5,IF(U91&lt;55%,0.8,IF(U91&lt;65%,0.9,IF(U91&lt;75%,1,IF(U91&lt;85%,1.1,1.2)))))))*IF(D91&gt;=0.8,6,IF(D91&lt;=0.4,1.5,3))</f>
        <v>27</v>
      </c>
      <c r="AC91" s="9"/>
      <c r="AD91" s="9"/>
      <c r="AE91" s="9"/>
      <c r="AF91" s="112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ht="15.0" customHeight="1">
      <c r="A92" s="43">
        <f>A85+2</f>
        <v>42349</v>
      </c>
      <c r="B92" s="131" t="str">
        <f t="shared" ref="B92:C92" si="201">IF(B55="","",B55)</f>
        <v>Легкая</v>
      </c>
      <c r="C92" s="177" t="str">
        <f t="shared" si="201"/>
        <v>Зашагивания на платформу</v>
      </c>
      <c r="D92" s="46">
        <f t="shared" si="202"/>
        <v>1</v>
      </c>
      <c r="E92" s="133" t="str">
        <f t="shared" si="163"/>
        <v/>
      </c>
      <c r="F92" s="48">
        <f t="shared" si="203"/>
        <v>0</v>
      </c>
      <c r="G92" s="49">
        <v>10.0</v>
      </c>
      <c r="H92" s="49">
        <v>4.0</v>
      </c>
      <c r="I92" s="50">
        <v>0.4</v>
      </c>
      <c r="J92" s="48" t="str">
        <f t="shared" si="204"/>
        <v/>
      </c>
      <c r="K92" s="49"/>
      <c r="L92" s="49"/>
      <c r="M92" s="50">
        <v>0.0</v>
      </c>
      <c r="N92" s="48" t="str">
        <f t="shared" si="205"/>
        <v/>
      </c>
      <c r="O92" s="49"/>
      <c r="P92" s="49"/>
      <c r="Q92" s="50">
        <v>0.0</v>
      </c>
      <c r="R92" s="48" t="str">
        <f t="shared" si="206"/>
        <v/>
      </c>
      <c r="S92" s="49"/>
      <c r="T92" s="49"/>
      <c r="U92" s="50">
        <v>0.0</v>
      </c>
      <c r="V92" s="134">
        <f t="shared" si="207"/>
        <v>0</v>
      </c>
      <c r="W92" s="53">
        <f t="shared" si="208"/>
        <v>0</v>
      </c>
      <c r="X92" s="54">
        <f t="shared" si="209"/>
        <v>0</v>
      </c>
      <c r="Y92" s="137">
        <f t="shared" si="210"/>
        <v>0</v>
      </c>
      <c r="Z92" s="53" t="str">
        <f t="shared" si="211"/>
        <v>#REF!</v>
      </c>
      <c r="AA92" s="49">
        <f t="shared" si="212"/>
        <v>40</v>
      </c>
      <c r="AB92" s="56">
        <f t="shared" si="213"/>
        <v>12</v>
      </c>
      <c r="AC92" s="9"/>
      <c r="AD92" s="9"/>
      <c r="AE92" s="9"/>
      <c r="AF92" s="112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ht="15.75" customHeight="1">
      <c r="A93" s="57"/>
      <c r="B93" s="135" t="str">
        <f t="shared" ref="B93:C93" si="214">IF(B56="","",B56)</f>
        <v>Средняя</v>
      </c>
      <c r="C93" s="177" t="str">
        <f t="shared" si="214"/>
        <v>Разведение ног</v>
      </c>
      <c r="D93" s="46">
        <f t="shared" si="202"/>
        <v>0.5</v>
      </c>
      <c r="E93" s="133">
        <f t="shared" si="163"/>
        <v>5</v>
      </c>
      <c r="F93" s="59">
        <f t="shared" si="203"/>
        <v>4.6</v>
      </c>
      <c r="G93" s="60">
        <v>10.0</v>
      </c>
      <c r="H93" s="60">
        <v>1.0</v>
      </c>
      <c r="I93" s="61">
        <v>0.45</v>
      </c>
      <c r="J93" s="59">
        <f t="shared" si="204"/>
        <v>6.1</v>
      </c>
      <c r="K93" s="60">
        <v>8.0</v>
      </c>
      <c r="L93" s="60">
        <v>4.0</v>
      </c>
      <c r="M93" s="61">
        <v>0.6</v>
      </c>
      <c r="N93" s="59" t="str">
        <f t="shared" si="205"/>
        <v/>
      </c>
      <c r="O93" s="60"/>
      <c r="P93" s="60"/>
      <c r="Q93" s="61">
        <v>0.0</v>
      </c>
      <c r="R93" s="59" t="str">
        <f t="shared" si="206"/>
        <v/>
      </c>
      <c r="S93" s="60"/>
      <c r="T93" s="60"/>
      <c r="U93" s="61">
        <v>0.0</v>
      </c>
      <c r="V93" s="104">
        <f t="shared" si="207"/>
        <v>1206</v>
      </c>
      <c r="W93" s="64">
        <f t="shared" si="208"/>
        <v>28.71428571</v>
      </c>
      <c r="X93" s="65">
        <f t="shared" si="209"/>
        <v>0.56</v>
      </c>
      <c r="Y93" s="137">
        <f t="shared" si="210"/>
        <v>10.201</v>
      </c>
      <c r="Z93" s="64" t="str">
        <f t="shared" si="211"/>
        <v>#REF!</v>
      </c>
      <c r="AA93" s="60">
        <f t="shared" si="212"/>
        <v>42</v>
      </c>
      <c r="AB93" s="66">
        <f t="shared" si="213"/>
        <v>13.2</v>
      </c>
      <c r="AC93" s="9"/>
      <c r="AD93" s="9"/>
      <c r="AE93" s="9"/>
      <c r="AF93" s="112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ht="15.75" customHeight="1">
      <c r="A94" s="57"/>
      <c r="B94" s="135" t="str">
        <f t="shared" ref="B94:C94" si="215">IF(B57="","",B57)</f>
        <v>Легкая</v>
      </c>
      <c r="C94" s="177" t="str">
        <f t="shared" si="215"/>
        <v>Жим гантелй лежа</v>
      </c>
      <c r="D94" s="46">
        <f t="shared" si="202"/>
        <v>0.4</v>
      </c>
      <c r="E94" s="133">
        <f t="shared" si="163"/>
        <v>2</v>
      </c>
      <c r="F94" s="48">
        <f t="shared" si="203"/>
        <v>5.5</v>
      </c>
      <c r="G94" s="49">
        <v>12.0</v>
      </c>
      <c r="H94" s="49">
        <v>3.0</v>
      </c>
      <c r="I94" s="50">
        <v>0.45</v>
      </c>
      <c r="J94" s="48" t="str">
        <f t="shared" si="204"/>
        <v/>
      </c>
      <c r="K94" s="49"/>
      <c r="L94" s="49"/>
      <c r="M94" s="50">
        <v>0.0</v>
      </c>
      <c r="N94" s="48" t="str">
        <f t="shared" si="205"/>
        <v/>
      </c>
      <c r="O94" s="49"/>
      <c r="P94" s="49"/>
      <c r="Q94" s="50">
        <v>0.0</v>
      </c>
      <c r="R94" s="48" t="str">
        <f t="shared" si="206"/>
        <v/>
      </c>
      <c r="S94" s="49"/>
      <c r="T94" s="49"/>
      <c r="U94" s="50">
        <v>0.0</v>
      </c>
      <c r="V94" s="134">
        <f t="shared" si="207"/>
        <v>396</v>
      </c>
      <c r="W94" s="53">
        <f t="shared" si="208"/>
        <v>11</v>
      </c>
      <c r="X94" s="54">
        <f t="shared" si="209"/>
        <v>0.45</v>
      </c>
      <c r="Y94" s="137">
        <f t="shared" si="210"/>
        <v>12.2412</v>
      </c>
      <c r="Z94" s="53" t="str">
        <f t="shared" si="211"/>
        <v>#REF!</v>
      </c>
      <c r="AA94" s="49">
        <f t="shared" si="212"/>
        <v>36</v>
      </c>
      <c r="AB94" s="56">
        <f t="shared" si="213"/>
        <v>3.6</v>
      </c>
      <c r="AC94" s="9"/>
      <c r="AD94" s="9"/>
      <c r="AE94" s="9"/>
      <c r="AF94" s="112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ht="15.75" customHeight="1">
      <c r="A95" s="57"/>
      <c r="B95" s="135" t="str">
        <f t="shared" ref="B95:C95" si="216">IF(B58="","",B58)</f>
        <v>Тяжелая</v>
      </c>
      <c r="C95" s="177" t="str">
        <f t="shared" si="216"/>
        <v>Ходьба выпадами</v>
      </c>
      <c r="D95" s="46">
        <f t="shared" si="202"/>
        <v>0.4</v>
      </c>
      <c r="E95" s="133">
        <f t="shared" si="163"/>
        <v>2</v>
      </c>
      <c r="F95" s="59">
        <f t="shared" si="203"/>
        <v>8</v>
      </c>
      <c r="G95" s="60">
        <v>10.0</v>
      </c>
      <c r="H95" s="60">
        <v>1.0</v>
      </c>
      <c r="I95" s="61">
        <v>0.5</v>
      </c>
      <c r="J95" s="59">
        <f t="shared" si="204"/>
        <v>10</v>
      </c>
      <c r="K95" s="60">
        <v>8.0</v>
      </c>
      <c r="L95" s="60">
        <v>4.0</v>
      </c>
      <c r="M95" s="61">
        <v>0.63</v>
      </c>
      <c r="N95" s="59" t="str">
        <f t="shared" si="205"/>
        <v/>
      </c>
      <c r="O95" s="60"/>
      <c r="P95" s="60"/>
      <c r="Q95" s="61">
        <v>0.0</v>
      </c>
      <c r="R95" s="59" t="str">
        <f t="shared" si="206"/>
        <v/>
      </c>
      <c r="S95" s="60"/>
      <c r="T95" s="60"/>
      <c r="U95" s="61">
        <v>0.0</v>
      </c>
      <c r="V95" s="104">
        <f t="shared" si="207"/>
        <v>800</v>
      </c>
      <c r="W95" s="64">
        <f t="shared" si="208"/>
        <v>19.04761905</v>
      </c>
      <c r="X95" s="62">
        <f t="shared" si="209"/>
        <v>0.62</v>
      </c>
      <c r="Y95" s="137">
        <f t="shared" si="210"/>
        <v>15.3015</v>
      </c>
      <c r="Z95" s="64" t="str">
        <f t="shared" si="211"/>
        <v>#REF!</v>
      </c>
      <c r="AA95" s="60">
        <f t="shared" si="212"/>
        <v>42</v>
      </c>
      <c r="AB95" s="66">
        <f t="shared" si="213"/>
        <v>6.6</v>
      </c>
      <c r="AC95" s="9"/>
      <c r="AD95" s="9"/>
      <c r="AE95" s="9"/>
      <c r="AF95" s="112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ht="15.75" customHeight="1">
      <c r="A96" s="57"/>
      <c r="B96" s="135" t="str">
        <f t="shared" ref="B96:C96" si="217">IF(B59="","",B59)</f>
        <v>Средняя</v>
      </c>
      <c r="C96" s="177" t="str">
        <f t="shared" si="217"/>
        <v>Гиперэкстензия на ягодицы</v>
      </c>
      <c r="D96" s="46">
        <f t="shared" si="202"/>
        <v>0.4</v>
      </c>
      <c r="E96" s="133" t="str">
        <f t="shared" si="163"/>
        <v/>
      </c>
      <c r="F96" s="48">
        <f t="shared" si="203"/>
        <v>17</v>
      </c>
      <c r="G96" s="49">
        <v>12.0</v>
      </c>
      <c r="H96" s="49">
        <v>1.0</v>
      </c>
      <c r="I96" s="50">
        <v>0.55</v>
      </c>
      <c r="J96" s="48">
        <f t="shared" si="204"/>
        <v>18</v>
      </c>
      <c r="K96" s="49">
        <v>10.0</v>
      </c>
      <c r="L96" s="49">
        <v>3.0</v>
      </c>
      <c r="M96" s="50">
        <v>0.6</v>
      </c>
      <c r="N96" s="48" t="str">
        <f t="shared" si="205"/>
        <v/>
      </c>
      <c r="O96" s="49"/>
      <c r="P96" s="49"/>
      <c r="Q96" s="50">
        <v>0.0</v>
      </c>
      <c r="R96" s="48" t="str">
        <f t="shared" si="206"/>
        <v/>
      </c>
      <c r="S96" s="49"/>
      <c r="T96" s="49"/>
      <c r="U96" s="50">
        <v>0.0</v>
      </c>
      <c r="V96" s="134">
        <f t="shared" si="207"/>
        <v>744</v>
      </c>
      <c r="W96" s="53">
        <f t="shared" si="208"/>
        <v>17.71428571</v>
      </c>
      <c r="X96" s="54">
        <f t="shared" si="209"/>
        <v>0.58</v>
      </c>
      <c r="Y96" s="137">
        <f t="shared" si="210"/>
        <v>30.603</v>
      </c>
      <c r="Z96" s="53" t="str">
        <f t="shared" si="211"/>
        <v>#REF!</v>
      </c>
      <c r="AA96" s="49">
        <f t="shared" si="212"/>
        <v>42</v>
      </c>
      <c r="AB96" s="56">
        <f t="shared" si="213"/>
        <v>5.4</v>
      </c>
      <c r="AC96" s="9"/>
      <c r="AD96" s="9"/>
      <c r="AE96" s="9"/>
      <c r="AF96" s="112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ht="15.75" customHeight="1">
      <c r="A97" s="72"/>
      <c r="B97" s="138" t="str">
        <f t="shared" ref="B97:C97" si="218">IF(B60="","",B60)</f>
        <v/>
      </c>
      <c r="C97" s="178" t="str">
        <f t="shared" si="218"/>
        <v>Скручивания (пресс)</v>
      </c>
      <c r="D97" s="75">
        <f>ROUND(IFERROR((D91*(G91*H91+K91*L91+O91*P91+S91*T91)+D92*(G92*H92+K92*L92+O92*P92+S92*T92)+D93*(G93*H93+K93*L93+O93*P93+S93*T93)+D94*(G94*H94+K94*L94+O94*P94+S94*T94)+D95*(G95*H95+K95*L95+O95*P95+S95*T95)+D96*(G96*H96+K96*L96+O96*P96+S96*T96))/((G91*H91+K91*L91+O91*P91+S91*T91)+(G92*H92+K92*L92+O92*P92+S92*T92)+(G93*H93+K93*L93+O93*P93+S93*T93)+(G94*H94+K94*L94+O94*P94+S94*T94)+(G95*H95+K95*L95+O95*P95+S95*T95)+(G96*H96+K96*L96+O96*P96+S96*T96)),0),2)</f>
        <v>0.71</v>
      </c>
      <c r="E97" s="140" t="str">
        <f t="shared" si="163"/>
        <v/>
      </c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125">
        <f>SUM(V91:V96)</f>
        <v>6436</v>
      </c>
      <c r="W97" s="82">
        <f>IFERROR(V97/AA97,0)</f>
        <v>24.75384615</v>
      </c>
      <c r="X97" s="83">
        <f>ROUND(IFERROR(((I91*G91*H91+M91*K91*L91+Q91*O91*P91+U91*S91*T91)+(I92*G92*H92+M92*K92*L92+Q92*O92*P92+U92*S92*T92)+(I93*G93*H93+M93*K93*L93+Q93*O93*P93+U93*S93*T93)+(I94*G94*H94+M94*K94*L94+Q94*O94*P94+U94*S94*T94)+(I95*G95*H95+M95*K95*L95+Q95*O95*P95+U95*S95*T95)+(I96*G96*H96+M96*K96*L96+Q96*O96*P96+U96*S96*T96))/((G91*H91+K91*L91+O91*P91+S91*T91)+(G92*H92+K92*L92+O92*P92+S92*T92)+(G93*H93+K93*L93+O93*P93+S93*T93)+(G94*H94+K94*L94+O94*P94+S94*T94)+(G95*H95+K95*L95+O95*P95+S95*T95)+(G96*H96+K96*L96+O96*P96+S96*T96)),0),3)</f>
        <v>0.532</v>
      </c>
      <c r="Y97" s="84"/>
      <c r="Z97" s="82" t="str">
        <f t="shared" ref="Z97:AA97" si="219">SUM(Z91:Z96)</f>
        <v>#REF!</v>
      </c>
      <c r="AA97" s="85">
        <f t="shared" si="219"/>
        <v>260</v>
      </c>
      <c r="AB97" s="86">
        <f>IF(SUM(AB91:AB96)=0,TIME(,0,),TIME(,SUM(AB91:AB96)+30,))</f>
        <v>0.06736111111</v>
      </c>
      <c r="AC97" s="9"/>
      <c r="AD97" s="9"/>
      <c r="AE97" s="9"/>
      <c r="AF97" s="112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ht="15.75" hidden="1" customHeight="1">
      <c r="A98" s="88" t="s">
        <v>44</v>
      </c>
      <c r="B98" s="89" t="str">
        <f t="shared" ref="B98:C98" si="220">IF(B61="","",B61)</f>
        <v/>
      </c>
      <c r="C98" s="141" t="str">
        <f t="shared" si="220"/>
        <v/>
      </c>
      <c r="D98" s="29" t="str">
        <f t="shared" ref="D98:D103" si="222">D61</f>
        <v/>
      </c>
      <c r="E98" s="91" t="str">
        <f t="shared" si="163"/>
        <v/>
      </c>
      <c r="F98" s="92"/>
      <c r="G98" s="93"/>
      <c r="H98" s="93"/>
      <c r="I98" s="94" t="str">
        <f t="shared" ref="I98:I103" si="223">IFERROR(ROUND(F98/$Y98,2),)</f>
        <v/>
      </c>
      <c r="J98" s="92"/>
      <c r="K98" s="93"/>
      <c r="L98" s="93"/>
      <c r="M98" s="94" t="str">
        <f t="shared" ref="M98:M103" si="224">IFERROR(ROUND(J98/$Y98,2),)</f>
        <v/>
      </c>
      <c r="N98" s="92"/>
      <c r="O98" s="93"/>
      <c r="P98" s="93"/>
      <c r="Q98" s="94" t="str">
        <f t="shared" ref="Q98:Q103" si="225">IFERROR(ROUND(N98/$Y98,2),)</f>
        <v/>
      </c>
      <c r="R98" s="92"/>
      <c r="S98" s="93"/>
      <c r="T98" s="93"/>
      <c r="U98" s="94" t="str">
        <f t="shared" ref="U98:U103" si="226">IFERROR(ROUND(R98/$Y98,2),)</f>
        <v/>
      </c>
      <c r="V98" s="95">
        <f t="shared" ref="V98:V103" si="227">(IF(ISNUMBER(F98),F98,1)*G98*H98+IF(ISNUMBER(J98),J98,1)*K98*L98+IF(ISNUMBER(N98),N98,1)*O98*P98+IF(ISNUMBER(R98),R98,1)*S98*T98)*IF(ISNUMBER(E98),E98,1)</f>
        <v>0</v>
      </c>
      <c r="W98" s="96">
        <f t="shared" ref="W98:W103" si="228">IFERROR((IF(ISNUMBER(F98),F98,1)*G98*H98+IF(ISNUMBER(J98),J98,1)*K98*L98+IF(ISNUMBER(N98),N98,1)*O98*P98+IF(ISNUMBER(R98),R98,1)*S98*T98)*IF(ISNUMBER(E98),E98,1)/(G98*H98+K98*L98+O98*P98+S98*T98),0)</f>
        <v>0</v>
      </c>
      <c r="X98" s="97">
        <f t="shared" ref="X98:X103" si="229">ROUND(IFERROR((W98/(Y98*IF(ISNUMBER(E98),E98,1))),0),2)</f>
        <v>0</v>
      </c>
      <c r="Y98" s="37" t="str">
        <f t="shared" ref="Y98:Y103" si="230">IF(ISNUMBER(Y61), Y61+(Y61*$Y$75),"")</f>
        <v/>
      </c>
      <c r="Z98" s="96">
        <f t="shared" ref="Z98:Z103" si="231">(IF(I98&lt;30%,0,IF(I98&lt;35%,F98*G98*H98*F!$B$33,IF(I98&lt;40%,F98*G98*H98*F!$B$38,IF(I98&lt;45%,F98*G98*H98*F!$B$43,IF(I98&lt;50%,F98*G98*H98*F!$B$48,IF(I98=50%,F98*G98*H98*F!$B$50,IF(I98=51%,F98*G98*H98*F!$B$51,IF(I98=52%,F98*G98*H98*F!$B$52,IF(I98=53%,F98*G98*H98*F!$B$53,IF(I98=54%,F98*G98*H98*F!$B$54,IF(I98=55%,F98*G98*H98*F!$B$55,IF(I98=56%,F98*G98*H98*F!$B$56,IF(I98=57%,F98*G98*H98*F!$B$57,IF(I98=58%,F98*G98*H98*F!$B$58,IF(I98=59%,F98*G98*H98*F!$B$59,IF(I98=60%,F98*G98*H98*F!$B$60,IF(I98=61%,F98*G98*H98*F!$B$61,IF(I98=62%,F98*G98*H98*F!$B$62,IF(I98=63%,F98*G98*H98*F!$B$63,IF(I98=64%,F98*G98*H98*F!$B$64,IF(I98=65%,F98*G98*H98*F!$B$65,IF(I98=66%,F98*G98*H98*F!$B$66,IF(I98=67%,F98*G98*H98*F!$B$67,IF(I98=68%,F98*G98*H98*F!$B$68,IF(I98=69%,F98*G98*H98*F!$B$69,IF(I98=70%,F98*G98*H98*F!$B$70,IF(I98=71%,F98*G98*H98*F!$B$71,IF(I98=72%,F98*G98*H98*F!$B$72,IF(I98=73%,F98*G98*H98*F!$B$73,IF(I98=74%,F98*G98*H98*F!$B$74,IF(I98=75%,F98*G98*H98*F!$B$75,IF(I98=76%,F98*G98*H98*F!$B$76,IF(I98=77%,F98*G98*H98*F!$B$77,IF(I98=78%,F98*G98*H98*F!$B$78,IF(I98=79%,F98*G98*H98*F!$B$79,IF(I98=80%,F98*G98*H98*F!$B$80,IF(I98=81%,F98*G98*H98*F!$B$81,IF(I98=82%,F98*G98*H98*F!$B$82,IF(I98=83%,F98*G98*H98*F!$B$83,IF(I98=84%,F98*G98*H98*F!$B$84,IF(I98=85%,F98*G98*H98*F!$B$85,IF(I98=86%,F98*G98*H98*F!$B$86,IF(I98=87%,F98*G98*H98*F!$B$87,IF(I98=88%,F98*G98*H98*F!$B$88,IF(I98=89%,F98*G98*H98*F!$B$89,IF(I98=90%,F98*G98*H98*F!$B$90,IF(I98=91%,F98*G98*H98*F!$B$91,IF(I98=92%,F98*G98*H98*F!$B$92,IF(I98=93%,F98*G98*H98*F!$B$93,IF(I98=94%,F98*G98*H98*F!$B$94,IF(I98=95%,F98*G98*H98*F!$B$95,IF(I98=96%,F98*G98*H98*F!$B$96,IF(I98=97%,F98*G98*H98*F!$B$97,IF(I98=98%,F98*G98*H98*F!$B$98,IF(I98=99%,F98*G98*H98*F!$B$99,IF(I98&gt;99%,F98*G98*H98*F!$B$100,))))))))))))))))))))))))))))))))))))))))))))))))))))))))+IF(M98&lt;30%,0,IF(M98&lt;35%,J98*K98*L98*F!$B$33,IF(M98&lt;40%,J98*K98*L98*F!$B$38,IF(M98&lt;45%,J98*K98*L98*F!$B$43,IF(M98&lt;50%,J98*K98*L98*F!$B$48,IF(M98=50%,J98*K98*L98*F!$B$50,IF(M98=51%,J98*K98*L98*F!$B$51,IF(M98=52%,J98*K98*L98*F!$B$52,IF(M98=53%,J98*K98*L98*F!$B$53,IF(M98=54%,J98*K98*L98*F!$B$54,IF(M98=55%,J98*K98*L98*F!$B$55,IF(M98=56%,J98*K98*L98*F!$B$56,IF(M98=57%,J98*K98*L98*F!$B$57,IF(M98=58%,J98*K98*L98*F!$B$58,IF(M98=59%,J98*K98*L98*F!$B$59,IF(M98=60%,J98*K98*L98*F!$B$60,IF(M98=61%,J98*K98*L98*F!$B$61,IF(M98=62%,J98*K98*L98*F!$B$62,IF(M98=63%,J98*K98*L98*F!$B$63,IF(M98=64%,J98*K98*L98*F!$B$64,IF(M98=65%,J98*K98*L98*F!$B$65,IF(M98=66%,J98*K98*L98*F!$B$66,IF(M98=67%,J98*K98*L98*F!$B$67,IF(M98=68%,J98*K98*L98*F!$B$68,IF(M98=69%,J98*K98*L98*F!$B$69,IF(M98=70%,J98*K98*L98*F!$B$70,IF(M98=71%,J98*K98*L98*F!$B$71,IF(M98=72%,J98*K98*L98*F!$B$72,IF(M98=73%,J98*K98*L98*F!$B$73,IF(M98=74%,J98*K98*L98*F!$B$74,IF(M98=75%,J98*K98*L98*F!$B$75,IF(M98=76%,J98*K98*L98*F!$B$76,IF(M98=77%,J98*K98*L98*F!$B$77,IF(M98=78%,J98*K98*L98*F!$B$78,IF(M98=79%,J98*K98*L98*F!$B$79,IF(M98=80%,J98*K98*L98*F!$B$80,IF(M98=81%,J98*K98*L98*F!$B$81,IF(M98=82%,J98*K98*L98*F!$B$82,IF(M98=83%,J98*K98*L98*F!$B$83,IF(M98=84%,J98*K98*L98*F!$B$84,IF(M98=85%,J98*K98*L98*F!$B$85,IF(M98=86%,J98*K98*L98*F!$B$86,IF(M98=87%,J98*K98*L98*F!$B$87,IF(M98=88%,J98*K98*L98*F!$B$88,IF(M98=89%,J98*K98*L98*F!$B$89,IF(M98=90%,J98*K98*L98*F!$B$90,IF(M98=91%,J98*K98*L98*F!$B$91,IF(M98=92%,J98*K98*L98*F!$B$92,IF(M98=93%,J98*K98*L98*F!$B$93,IF(M98=94%,J98*K98*L98*F!$B$94,IF(M98=95%,J98*K98*L98*F!$B$95,IF(M98=96%,J98*K98*L98*F!$B$96,IF(M98=97%,J98*K98*L98*F!$B$97,IF(M98=98%,J98*K98*L98*F!$B$98,IF(M98=99%,J98*K98*L98*F!$B$99,IF(M98&gt;99%,J98*K98*L98*F!$B$100,))))))))))))))))))))))))))))))))))))))))))))))))))))))))+IF(Q98&lt;30%,0,IF(Q98&lt;35%,N98*O98*P98*F!$B$33,IF(Q98&lt;40%,N98*O98*P98*F!$B$38,IF(Q98&lt;45%,N98*O98*P98*F!$B$43,IF(Q98&lt;50%,N98*O98*P98*F!$B$48,IF(Q98=50%,N98*O98*P98*F!$B$50,IF(Q98=51%,N98*O98*P98*F!$B$51,IF(Q98=52%,N98*O98*P98*F!$B$52,IF(Q98=53%,N98*O98*P98*F!$B$53,IF(Q98=54%,N98*O98*P98*F!$B$54,IF(Q98=55%,N98*O98*P98*F!$B$55,IF(Q98=56%,N98*O98*P98*F!$B$56,IF(Q98=57%,N98*O98*P98*F!$B$57,IF(Q98=58%,N98*O98*P98*F!$B$58,IF(Q98=59%,N98*O98*P98*F!$B$59,IF(Q98=60%,N98*O98*P98*F!$B$60,IF(Q98=61%,N98*O98*P98*F!$B$61,IF(Q98=62%,N98*O98*P98*F!$B$62,IF(Q98=63%,N98*O98*P98*F!$B$63,IF(Q98=64%,N98*O98*P98*F!$B$64,IF(Q98=65%,N98*O98*P98*F!$B$65,IF(Q98=66%,N98*O98*P98*F!$B$66,IF(Q98=67%,N98*O98*P98*F!$B$67,IF(Q98=68%,N98*O98*P98*F!$B$68,IF(Q98=69%,N98*O98*P98*F!$B$69,IF(Q98=70%,N98*O98*P98*F!$B$70,IF(Q98=71%,N98*O98*P98*F!$B$71,IF(Q98=72%,N98*O98*P98*F!$B$72,IF(Q98=73%,N98*O98*P98*F!$B$73,IF(Q98=74%,N98*O98*P98*F!$B$74,IF(Q98=75%,N98*O98*P98*F!$B$75,IF(Q98=76%,N98*O98*P98*F!$B$76,IF(Q98=77%,N98*O98*P98*F!$B$77,IF(Q98=78%,N98*O98*P98*F!$B$78,IF(Q98=79%,N98*O98*P98*F!$B$79,IF(Q98=80%,N98*O98*P98*F!$B$80,IF(Q98=81%,N98*O98*P98*F!$B$81,IF(Q98=82%,N98*O98*P98*F!$B$82,IF(Q98=83%,N98*O98*P98*F!$B$83,IF(Q98=84%,N98*O98*P98*F!$B$84,IF(Q98=85%,N98*O98*P98*F!$B$85,IF(Q98=86%,N98*O98*P98*F!$B$86,IF(Q98=87%,N98*O98*P98*F!$B$87,IF(Q98=88%,N98*O98*P98*F!$B$88,IF(Q98=89%,N98*O98*P98*F!$B$89,IF(Q98=90%,N98*O98*P98*F!$B$90,IF(Q98=91%,N98*O98*P98*F!$B$91,IF(Q98=92%,N98*O98*P98*F!$B$92,IF(Q98=93%,N98*O98*P98*F!$B$93,IF(Q98=94%,N98*O98*P98*F!$B$94,IF(Q98=95%,N98*O98*P98*F!$B$95,IF(Q98=96%,N98*O98*P98*F!$B$96,IF(Q98=97%,N98*O98*P98*F!$B$97,IF(Q98=98%,N98*O98*P98*F!$B$98,IF(Q98=99%,N98*O98*P98*F!$B$99,IF(Q98&gt;99%,N98*O98*P98*F!$B$100,))))))))))))))))))))))))))))))))))))))))))))))))))))))))+IF(U98&lt;30%,0,IF(U98&lt;35%,R98*S98*T98*F!$B$33,IF(U98&lt;40%,R98*S98*T98*F!$B$38,IF(U98&lt;45%,R98*S98*T98*F!$B$43,IF(U98&lt;50%,R98*S98*T98*F!$B$48,IF(U98=50%,R98*S98*T98*F!$B$50,IF(U98=51%,R98*S98*T98*F!$B$51,IF(U98=52%,R98*S98*T98*F!$B$52,IF(U98=53%,R98*S98*T98*F!$B$53,IF(U98=54%,R98*S98*T98*F!$B$54,IF(U98=55%,R98*S98*T98*F!$B$55,IF(U98=56%,R98*S98*T98*F!$B$56,IF(U98=57%,R98*S98*T98*F!$B$57,IF(U98=58%,R98*S98*T98*F!$B$58,IF(U98=59%,R98*S98*T98*F!$B$59,IF(U98=60%,R98*S98*T98*F!$B$60,IF(U98=61%,R98*S98*T98*F!$B$61,IF(U98=62%,R98*S98*T98*F!$B$62,IF(U98=63%,R98*S98*T98*F!$B$63,IF(U98=64%,R98*S98*T98*F!$B$64,IF(U98=65%,R98*S98*T98*F!$B$65,IF(U98=66%,R98*S98*T98*F!$B$66,IF(U98=67%,R98*S98*T98*F!$B$67,IF(U98=68%,R98*S98*T98*F!$B$68,IF(U98=69%,R98*S98*T98*F!$B$69,IF(U98=70%,R98*S98*T98*F!$B$70,IF(U98=71%,R98*S98*T98*F!$B$71,IF(U98=72%,R98*S98*T98*F!$B$72,IF(U98=73%,R98*S98*T98*F!$B$73,IF(U98=74%,R98*S98*T98*F!$B$74,IF(U98=75%,R98*S98*T98*F!$B$75,IF(U98=76%,R98*S98*T98*F!$B$76,IF(U98=77%,R98*S98*T98*F!$B$77,IF(U98=78%,R98*S98*T98*F!$B$78,IF(U98=79%,R98*S98*T98*F!$B$79,IF(U98=80%,R98*S98*T98*F!$B$80,IF(U98=81%,R98*S98*T98*F!$B$81,IF(U98=82%,R98*S98*T98*F!$B$82,IF(U98=83%,R98*S98*T98*F!$B$83,IF(U98=84%,R98*S98*T98*F!$B$84,IF(U98=85%,R98*S98*T98*F!$B$85,IF(U98=86%,R98*S98*T98*F!$B$86,IF(U98=87%,R98*S98*T98*F!$B$87,IF(U98=88%,R98*S98*T98*F!$B$88,IF(U98=89%,R98*S98*T98*F!$B$89,IF(U98=90%,R98*S98*T98*F!$B$90,IF(U98=91%,R98*S98*T98*F!$B$91,IF(U98=92%,R98*S98*T98*F!$B$92,IF(U98=93%,R98*S98*T98*F!$B$93,IF(U98=94%,R98*S98*T98*F!$B$94,IF(U98=95%,R98*S98*T98*F!$B$95,IF(U98=96%,R98*S98*T98*F!$B$96,IF(U98=97%,R98*S98*T98*F!$B$97,IF(U98=98%,R98*S98*T98*F!$B$98,IF(U98=99%,R98*S98*T98*F!$B$99,IF(U98&gt;99%,R98*S98*T98*F!$B$100)))))))))))))))))))))))))))))))))))))))))))))))))))))))))*IF(ISNUMBER(E98),E98,1)*IF(ISNUMBER(D98),D98,1)</f>
        <v>0</v>
      </c>
      <c r="AA98" s="93">
        <f t="shared" ref="AA98:AA103" si="232">G98*H98+K98*L98+O98*P98+S98*T98</f>
        <v>0</v>
      </c>
      <c r="AB98" s="99">
        <f t="shared" ref="AB98:AB103" si="233">(H98*(IF(I98&lt;45%,0.5,IF(I98&lt;55%,0.8,IF(I98&lt;65%,0.9,IF(I98&lt;75%,1,IF(I98&lt;85%,1.1,1.2))))))+L98*(IF(M98&lt;45%,0.5,IF(M98&lt;55%,0.8,IF(M98&lt;65%,0.9,IF(M98&lt;75%,1,IF(M98&lt;85%,1.1,1.2))))))+P98*(IF(Q98&lt;45%,0.5,IF(Q98&lt;55%,0.8,IF(Q98&lt;65%,0.9,IF(Q98&lt;75%,1,IF(Q98&lt;85%,1.1,1.2))))))+T98*(IF(U98&lt;45%,0.5,IF(U98&lt;55%,0.8,IF(U98&lt;65%,0.9,IF(U98&lt;75%,1,IF(U98&lt;85%,1.1,1.2)))))))*IF(D98&gt;=0.8,6,IF(D98&lt;=0.4,1.5,3))</f>
        <v>0</v>
      </c>
      <c r="AC98" s="9"/>
      <c r="AD98" s="9"/>
      <c r="AE98" s="9"/>
      <c r="AF98" s="112"/>
      <c r="AG98" s="9"/>
      <c r="AH98" s="9"/>
      <c r="AI98" s="9"/>
      <c r="AJ98" s="9"/>
      <c r="AK98" s="9"/>
      <c r="AL98" s="9"/>
      <c r="AM98" s="9"/>
      <c r="AN98" s="9"/>
      <c r="AO98" s="9"/>
      <c r="AP98" s="17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ht="15.0" hidden="1" customHeight="1">
      <c r="A99" s="142">
        <f>A92+1</f>
        <v>42350</v>
      </c>
      <c r="B99" s="101" t="str">
        <f t="shared" ref="B99:C99" si="221">IF(B62="","",B62)</f>
        <v/>
      </c>
      <c r="C99" s="143" t="str">
        <f t="shared" si="221"/>
        <v/>
      </c>
      <c r="D99" s="46" t="str">
        <f t="shared" si="222"/>
        <v/>
      </c>
      <c r="E99" s="144" t="str">
        <f t="shared" si="163"/>
        <v/>
      </c>
      <c r="F99" s="59"/>
      <c r="G99" s="60"/>
      <c r="H99" s="60"/>
      <c r="I99" s="61" t="str">
        <f t="shared" si="223"/>
        <v/>
      </c>
      <c r="J99" s="59"/>
      <c r="K99" s="60"/>
      <c r="L99" s="60"/>
      <c r="M99" s="61" t="str">
        <f t="shared" si="224"/>
        <v/>
      </c>
      <c r="N99" s="59"/>
      <c r="O99" s="60"/>
      <c r="P99" s="60"/>
      <c r="Q99" s="61" t="str">
        <f t="shared" si="225"/>
        <v/>
      </c>
      <c r="R99" s="59"/>
      <c r="S99" s="60"/>
      <c r="T99" s="60"/>
      <c r="U99" s="61" t="str">
        <f t="shared" si="226"/>
        <v/>
      </c>
      <c r="V99" s="104">
        <f t="shared" si="227"/>
        <v>0</v>
      </c>
      <c r="W99" s="64">
        <f t="shared" si="228"/>
        <v>0</v>
      </c>
      <c r="X99" s="65">
        <f t="shared" si="229"/>
        <v>0</v>
      </c>
      <c r="Y99" s="137" t="str">
        <f t="shared" si="230"/>
        <v/>
      </c>
      <c r="Z99" s="64">
        <f t="shared" si="231"/>
        <v>0</v>
      </c>
      <c r="AA99" s="60">
        <f t="shared" si="232"/>
        <v>0</v>
      </c>
      <c r="AB99" s="66">
        <f t="shared" si="233"/>
        <v>0</v>
      </c>
      <c r="AC99" s="9"/>
      <c r="AD99" s="9"/>
      <c r="AE99" s="9"/>
      <c r="AF99" s="112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ht="15.75" hidden="1" customHeight="1">
      <c r="A100" s="57"/>
      <c r="B100" s="101" t="str">
        <f t="shared" ref="B100:C100" si="234">IF(B63="","",B63)</f>
        <v/>
      </c>
      <c r="C100" s="143" t="str">
        <f t="shared" si="234"/>
        <v/>
      </c>
      <c r="D100" s="46" t="str">
        <f t="shared" si="222"/>
        <v/>
      </c>
      <c r="E100" s="144" t="str">
        <f t="shared" si="163"/>
        <v/>
      </c>
      <c r="F100" s="105"/>
      <c r="G100" s="106"/>
      <c r="H100" s="106"/>
      <c r="I100" s="107" t="str">
        <f t="shared" si="223"/>
        <v/>
      </c>
      <c r="J100" s="105"/>
      <c r="K100" s="106"/>
      <c r="L100" s="106"/>
      <c r="M100" s="107" t="str">
        <f t="shared" si="224"/>
        <v/>
      </c>
      <c r="N100" s="105"/>
      <c r="O100" s="106"/>
      <c r="P100" s="106"/>
      <c r="Q100" s="107" t="str">
        <f t="shared" si="225"/>
        <v/>
      </c>
      <c r="R100" s="105"/>
      <c r="S100" s="106"/>
      <c r="T100" s="106"/>
      <c r="U100" s="107" t="str">
        <f t="shared" si="226"/>
        <v/>
      </c>
      <c r="V100" s="108">
        <f t="shared" si="227"/>
        <v>0</v>
      </c>
      <c r="W100" s="109">
        <f t="shared" si="228"/>
        <v>0</v>
      </c>
      <c r="X100" s="110">
        <f t="shared" si="229"/>
        <v>0</v>
      </c>
      <c r="Y100" s="137" t="str">
        <f t="shared" si="230"/>
        <v/>
      </c>
      <c r="Z100" s="109">
        <f t="shared" si="231"/>
        <v>0</v>
      </c>
      <c r="AA100" s="106">
        <f t="shared" si="232"/>
        <v>0</v>
      </c>
      <c r="AB100" s="111">
        <f t="shared" si="233"/>
        <v>0</v>
      </c>
      <c r="AC100" s="9"/>
      <c r="AD100" s="9"/>
      <c r="AE100" s="9"/>
      <c r="AF100" s="112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ht="15.75" hidden="1" customHeight="1">
      <c r="A101" s="57"/>
      <c r="B101" s="101" t="str">
        <f t="shared" ref="B101:C101" si="235">IF(B64="","",B64)</f>
        <v/>
      </c>
      <c r="C101" s="143" t="str">
        <f t="shared" si="235"/>
        <v/>
      </c>
      <c r="D101" s="46" t="str">
        <f t="shared" si="222"/>
        <v/>
      </c>
      <c r="E101" s="144" t="str">
        <f t="shared" si="163"/>
        <v/>
      </c>
      <c r="F101" s="59"/>
      <c r="G101" s="60"/>
      <c r="H101" s="60"/>
      <c r="I101" s="61" t="str">
        <f t="shared" si="223"/>
        <v/>
      </c>
      <c r="J101" s="59"/>
      <c r="K101" s="60"/>
      <c r="L101" s="60"/>
      <c r="M101" s="61" t="str">
        <f t="shared" si="224"/>
        <v/>
      </c>
      <c r="N101" s="59"/>
      <c r="O101" s="60"/>
      <c r="P101" s="60"/>
      <c r="Q101" s="61" t="str">
        <f t="shared" si="225"/>
        <v/>
      </c>
      <c r="R101" s="59"/>
      <c r="S101" s="60"/>
      <c r="T101" s="60"/>
      <c r="U101" s="61" t="str">
        <f t="shared" si="226"/>
        <v/>
      </c>
      <c r="V101" s="104">
        <f t="shared" si="227"/>
        <v>0</v>
      </c>
      <c r="W101" s="64">
        <f t="shared" si="228"/>
        <v>0</v>
      </c>
      <c r="X101" s="65">
        <f t="shared" si="229"/>
        <v>0</v>
      </c>
      <c r="Y101" s="137" t="str">
        <f t="shared" si="230"/>
        <v/>
      </c>
      <c r="Z101" s="64">
        <f t="shared" si="231"/>
        <v>0</v>
      </c>
      <c r="AA101" s="60">
        <f t="shared" si="232"/>
        <v>0</v>
      </c>
      <c r="AB101" s="66">
        <f t="shared" si="233"/>
        <v>0</v>
      </c>
      <c r="AC101" s="9"/>
      <c r="AD101" s="9"/>
      <c r="AE101" s="9"/>
      <c r="AF101" s="112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ht="15.75" hidden="1" customHeight="1">
      <c r="A102" s="57"/>
      <c r="B102" s="101" t="str">
        <f t="shared" ref="B102:C102" si="236">IF(B65="","",B65)</f>
        <v/>
      </c>
      <c r="C102" s="143" t="str">
        <f t="shared" si="236"/>
        <v/>
      </c>
      <c r="D102" s="46" t="str">
        <f t="shared" si="222"/>
        <v/>
      </c>
      <c r="E102" s="144" t="str">
        <f t="shared" si="163"/>
        <v/>
      </c>
      <c r="F102" s="105"/>
      <c r="G102" s="106"/>
      <c r="H102" s="106"/>
      <c r="I102" s="107" t="str">
        <f t="shared" si="223"/>
        <v/>
      </c>
      <c r="J102" s="105"/>
      <c r="K102" s="106"/>
      <c r="L102" s="106"/>
      <c r="M102" s="107" t="str">
        <f t="shared" si="224"/>
        <v/>
      </c>
      <c r="N102" s="105"/>
      <c r="O102" s="106"/>
      <c r="P102" s="106"/>
      <c r="Q102" s="107" t="str">
        <f t="shared" si="225"/>
        <v/>
      </c>
      <c r="R102" s="105"/>
      <c r="S102" s="106"/>
      <c r="T102" s="106"/>
      <c r="U102" s="107" t="str">
        <f t="shared" si="226"/>
        <v/>
      </c>
      <c r="V102" s="108">
        <f t="shared" si="227"/>
        <v>0</v>
      </c>
      <c r="W102" s="109">
        <f t="shared" si="228"/>
        <v>0</v>
      </c>
      <c r="X102" s="117">
        <f t="shared" si="229"/>
        <v>0</v>
      </c>
      <c r="Y102" s="137" t="str">
        <f t="shared" si="230"/>
        <v/>
      </c>
      <c r="Z102" s="109">
        <f t="shared" si="231"/>
        <v>0</v>
      </c>
      <c r="AA102" s="106">
        <f t="shared" si="232"/>
        <v>0</v>
      </c>
      <c r="AB102" s="111">
        <f t="shared" si="233"/>
        <v>0</v>
      </c>
      <c r="AC102" s="9"/>
      <c r="AD102" s="9"/>
      <c r="AE102" s="9"/>
      <c r="AF102" s="112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ht="15.75" hidden="1" customHeight="1">
      <c r="A103" s="57"/>
      <c r="B103" s="101" t="str">
        <f t="shared" ref="B103:C103" si="237">IF(B66="","",B66)</f>
        <v/>
      </c>
      <c r="C103" s="143" t="str">
        <f t="shared" si="237"/>
        <v/>
      </c>
      <c r="D103" s="46" t="str">
        <f t="shared" si="222"/>
        <v/>
      </c>
      <c r="E103" s="144" t="str">
        <f t="shared" si="163"/>
        <v/>
      </c>
      <c r="F103" s="59"/>
      <c r="G103" s="60"/>
      <c r="H103" s="60"/>
      <c r="I103" s="61" t="str">
        <f t="shared" si="223"/>
        <v/>
      </c>
      <c r="J103" s="59"/>
      <c r="K103" s="60"/>
      <c r="L103" s="60"/>
      <c r="M103" s="61" t="str">
        <f t="shared" si="224"/>
        <v/>
      </c>
      <c r="N103" s="59"/>
      <c r="O103" s="60"/>
      <c r="P103" s="60"/>
      <c r="Q103" s="61" t="str">
        <f t="shared" si="225"/>
        <v/>
      </c>
      <c r="R103" s="59"/>
      <c r="S103" s="60"/>
      <c r="T103" s="60"/>
      <c r="U103" s="61" t="str">
        <f t="shared" si="226"/>
        <v/>
      </c>
      <c r="V103" s="104">
        <f t="shared" si="227"/>
        <v>0</v>
      </c>
      <c r="W103" s="64">
        <f t="shared" si="228"/>
        <v>0</v>
      </c>
      <c r="X103" s="65">
        <f t="shared" si="229"/>
        <v>0</v>
      </c>
      <c r="Y103" s="137" t="str">
        <f t="shared" si="230"/>
        <v/>
      </c>
      <c r="Z103" s="64">
        <f t="shared" si="231"/>
        <v>0</v>
      </c>
      <c r="AA103" s="60">
        <f t="shared" si="232"/>
        <v>0</v>
      </c>
      <c r="AB103" s="66">
        <f t="shared" si="233"/>
        <v>0</v>
      </c>
      <c r="AC103" s="9"/>
      <c r="AD103" s="9"/>
      <c r="AE103" s="9"/>
      <c r="AF103" s="112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ht="15.75" hidden="1" customHeight="1">
      <c r="A104" s="72"/>
      <c r="B104" s="119" t="str">
        <f t="shared" ref="B104:C104" si="238">IF(B67="","",B67)</f>
        <v/>
      </c>
      <c r="C104" s="146" t="str">
        <f t="shared" si="238"/>
        <v/>
      </c>
      <c r="D104" s="75">
        <f>ROUND(IFERROR((D98*(G98*H98+K98*L98+O98*P98+S98*T98)+D99*(G99*H99+K99*L99+O99*P99+S99*T99)+D100*(G100*H100+K100*L100+O100*P100+S100*T100)+D101*(G101*H101+K101*L101+O101*P101+S101*T101)+D102*(G102*H102+K102*L102+O102*P102+S102*T102)+D103*(G103*H103+K103*L103+O103*P103+S103*T103))/((G98*H98+K98*L98+O98*P98+S98*T98)+(G99*H99+K99*L99+O99*P99+S99*T99)+(G100*H100+K100*L100+O100*P100+S100*T100)+(G101*H101+K101*L101+O101*P101+S101*T101)+(G102*H102+K102*L102+O102*P102+S102*T102)+(G103*H103+K103*L103+O103*P103+S103*T103)),0),2)</f>
        <v>0</v>
      </c>
      <c r="E104" s="147" t="str">
        <f t="shared" si="163"/>
        <v/>
      </c>
      <c r="F104" s="122"/>
      <c r="G104" s="123"/>
      <c r="H104" s="123"/>
      <c r="I104" s="124"/>
      <c r="J104" s="122"/>
      <c r="K104" s="123"/>
      <c r="L104" s="123"/>
      <c r="M104" s="124"/>
      <c r="N104" s="122"/>
      <c r="O104" s="123"/>
      <c r="P104" s="123"/>
      <c r="Q104" s="124"/>
      <c r="R104" s="122"/>
      <c r="S104" s="123"/>
      <c r="T104" s="123"/>
      <c r="U104" s="124"/>
      <c r="V104" s="125">
        <f>SUM(V98:V103)</f>
        <v>0</v>
      </c>
      <c r="W104" s="82">
        <f>IFERROR(V104/AA104,0)</f>
        <v>0</v>
      </c>
      <c r="X104" s="83">
        <f>ROUND(IFERROR(((I98*G98*H98+M98*K98*L98+Q98*O98*P98+U98*S98*T98)+(I99*G99*H99+M99*K99*L99+Q99*O99*P99+U99*S99*T99)+(I100*G100*H100+M100*K100*L100+Q100*O100*P100+U100*S100*T100)+(I101*G101*H101+M101*K101*L101+Q101*O101*P101+U101*S101*T101)+(I102*G102*H102+M102*K102*L102+Q102*O102*P102+U102*S102*T102)+(I103*G103*H103+M103*K103*L103+Q103*O103*P103+U103*S103*T103))/((G98*H98+K98*L98+O98*P98+S98*T98)+(G99*H99+K99*L99+O99*P99+S99*T99)+(G100*H100+K100*L100+O100*P100+S100*T100)+(G101*H101+K101*L101+O101*P101+S101*T101)+(G102*H102+K102*L102+O102*P102+S102*T102)+(G103*H103+K103*L103+O103*P103+S103*T103)),0),3)</f>
        <v>0</v>
      </c>
      <c r="Y104" s="84"/>
      <c r="Z104" s="82">
        <f t="shared" ref="Z104:AA104" si="239">SUM(Z98:Z103)</f>
        <v>0</v>
      </c>
      <c r="AA104" s="85">
        <f t="shared" si="239"/>
        <v>0</v>
      </c>
      <c r="AB104" s="86">
        <f>IF(SUM(AB98:AB103)=0,TIME(,0,),TIME(,SUM(AB98:AB103)+30,))</f>
        <v>0</v>
      </c>
      <c r="AC104" s="9"/>
      <c r="AD104" s="9"/>
      <c r="AE104" s="9"/>
      <c r="AF104" s="112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ht="15.75" hidden="1" customHeight="1">
      <c r="A105" s="126" t="s">
        <v>36</v>
      </c>
      <c r="B105" s="27" t="str">
        <f t="shared" ref="B105:C105" si="240">IF(B68="","",B68)</f>
        <v/>
      </c>
      <c r="C105" s="148" t="str">
        <f t="shared" si="240"/>
        <v/>
      </c>
      <c r="D105" s="29" t="str">
        <f t="shared" ref="D105:D110" si="242">D68</f>
        <v/>
      </c>
      <c r="E105" s="30" t="str">
        <f t="shared" si="163"/>
        <v/>
      </c>
      <c r="F105" s="31"/>
      <c r="G105" s="32"/>
      <c r="H105" s="32"/>
      <c r="I105" s="33" t="str">
        <f t="shared" ref="I105:I110" si="243">IFERROR(ROUND(F105/$Y105,2),)</f>
        <v/>
      </c>
      <c r="J105" s="31"/>
      <c r="K105" s="32"/>
      <c r="L105" s="32"/>
      <c r="M105" s="33" t="str">
        <f t="shared" ref="M105:M110" si="244">IFERROR(ROUND(J105/$Y105,2),)</f>
        <v/>
      </c>
      <c r="N105" s="31"/>
      <c r="O105" s="32"/>
      <c r="P105" s="32"/>
      <c r="Q105" s="33" t="str">
        <f t="shared" ref="Q105:Q110" si="245">IFERROR(ROUND(N105/$Y105,2),)</f>
        <v/>
      </c>
      <c r="R105" s="31"/>
      <c r="S105" s="32"/>
      <c r="T105" s="32"/>
      <c r="U105" s="33" t="str">
        <f t="shared" ref="U105:U110" si="246">IFERROR(ROUND(R105/$Y105,2),)</f>
        <v/>
      </c>
      <c r="V105" s="130">
        <f t="shared" ref="V105:V110" si="247">(IF(ISNUMBER(F105),F105,1)*G105*H105+IF(ISNUMBER(J105),J105,1)*K105*L105+IF(ISNUMBER(N105),N105,1)*O105*P105+IF(ISNUMBER(R105),R105,1)*S105*T105)*IF(ISNUMBER(E105),E105,1)</f>
        <v>0</v>
      </c>
      <c r="W105" s="36">
        <f t="shared" ref="W105:W110" si="248">IFERROR((IF(ISNUMBER(F105),F105,1)*G105*H105+IF(ISNUMBER(J105),J105,1)*K105*L105+IF(ISNUMBER(N105),N105,1)*O105*P105+IF(ISNUMBER(R105),R105,1)*S105*T105)*IF(ISNUMBER(E105),E105,1)/(G105*H105+K105*L105+O105*P105+S105*T105),0)</f>
        <v>0</v>
      </c>
      <c r="X105" s="34">
        <f t="shared" ref="X105:X110" si="249">ROUND(IFERROR((W105/(Y105*IF(ISNUMBER(E105),E105,1))),0),2)</f>
        <v>0</v>
      </c>
      <c r="Y105" s="37" t="str">
        <f t="shared" ref="Y105:Y110" si="250">IF(ISNUMBER(Y68), Y68+(Y68*$Y$75),"")</f>
        <v/>
      </c>
      <c r="Z105" s="36">
        <f t="shared" ref="Z105:Z110" si="251">(IF(I105&lt;30%,0,IF(I105&lt;35%,F105*G105*H105*F!$B$33,IF(I105&lt;40%,F105*G105*H105*F!$B$38,IF(I105&lt;45%,F105*G105*H105*F!$B$43,IF(I105&lt;50%,F105*G105*H105*F!$B$48,IF(I105=50%,F105*G105*H105*F!$B$50,IF(I105=51%,F105*G105*H105*F!$B$51,IF(I105=52%,F105*G105*H105*F!$B$52,IF(I105=53%,F105*G105*H105*F!$B$53,IF(I105=54%,F105*G105*H105*F!$B$54,IF(I105=55%,F105*G105*H105*F!$B$55,IF(I105=56%,F105*G105*H105*F!$B$56,IF(I105=57%,F105*G105*H105*F!$B$57,IF(I105=58%,F105*G105*H105*F!$B$58,IF(I105=59%,F105*G105*H105*F!$B$59,IF(I105=60%,F105*G105*H105*F!$B$60,IF(I105=61%,F105*G105*H105*F!$B$61,IF(I105=62%,F105*G105*H105*F!$B$62,IF(I105=63%,F105*G105*H105*F!$B$63,IF(I105=64%,F105*G105*H105*F!$B$64,IF(I105=65%,F105*G105*H105*F!$B$65,IF(I105=66%,F105*G105*H105*F!$B$66,IF(I105=67%,F105*G105*H105*F!$B$67,IF(I105=68%,F105*G105*H105*F!$B$68,IF(I105=69%,F105*G105*H105*F!$B$69,IF(I105=70%,F105*G105*H105*F!$B$70,IF(I105=71%,F105*G105*H105*F!$B$71,IF(I105=72%,F105*G105*H105*F!$B$72,IF(I105=73%,F105*G105*H105*F!$B$73,IF(I105=74%,F105*G105*H105*F!$B$74,IF(I105=75%,F105*G105*H105*F!$B$75,IF(I105=76%,F105*G105*H105*F!$B$76,IF(I105=77%,F105*G105*H105*F!$B$77,IF(I105=78%,F105*G105*H105*F!$B$78,IF(I105=79%,F105*G105*H105*F!$B$79,IF(I105=80%,F105*G105*H105*F!$B$80,IF(I105=81%,F105*G105*H105*F!$B$81,IF(I105=82%,F105*G105*H105*F!$B$82,IF(I105=83%,F105*G105*H105*F!$B$83,IF(I105=84%,F105*G105*H105*F!$B$84,IF(I105=85%,F105*G105*H105*F!$B$85,IF(I105=86%,F105*G105*H105*F!$B$86,IF(I105=87%,F105*G105*H105*F!$B$87,IF(I105=88%,F105*G105*H105*F!$B$88,IF(I105=89%,F105*G105*H105*F!$B$89,IF(I105=90%,F105*G105*H105*F!$B$90,IF(I105=91%,F105*G105*H105*F!$B$91,IF(I105=92%,F105*G105*H105*F!$B$92,IF(I105=93%,F105*G105*H105*F!$B$93,IF(I105=94%,F105*G105*H105*F!$B$94,IF(I105=95%,F105*G105*H105*F!$B$95,IF(I105=96%,F105*G105*H105*F!$B$96,IF(I105=97%,F105*G105*H105*F!$B$97,IF(I105=98%,F105*G105*H105*F!$B$98,IF(I105=99%,F105*G105*H105*F!$B$99,IF(I105&gt;99%,F105*G105*H105*F!$B$100,))))))))))))))))))))))))))))))))))))))))))))))))))))))))+IF(M105&lt;30%,0,IF(M105&lt;35%,J105*K105*L105*F!$B$33,IF(M105&lt;40%,J105*K105*L105*F!$B$38,IF(M105&lt;45%,J105*K105*L105*F!$B$43,IF(M105&lt;50%,J105*K105*L105*F!$B$48,IF(M105=50%,J105*K105*L105*F!$B$50,IF(M105=51%,J105*K105*L105*F!$B$51,IF(M105=52%,J105*K105*L105*F!$B$52,IF(M105=53%,J105*K105*L105*F!$B$53,IF(M105=54%,J105*K105*L105*F!$B$54,IF(M105=55%,J105*K105*L105*F!$B$55,IF(M105=56%,J105*K105*L105*F!$B$56,IF(M105=57%,J105*K105*L105*F!$B$57,IF(M105=58%,J105*K105*L105*F!$B$58,IF(M105=59%,J105*K105*L105*F!$B$59,IF(M105=60%,J105*K105*L105*F!$B$60,IF(M105=61%,J105*K105*L105*F!$B$61,IF(M105=62%,J105*K105*L105*F!$B$62,IF(M105=63%,J105*K105*L105*F!$B$63,IF(M105=64%,J105*K105*L105*F!$B$64,IF(M105=65%,J105*K105*L105*F!$B$65,IF(M105=66%,J105*K105*L105*F!$B$66,IF(M105=67%,J105*K105*L105*F!$B$67,IF(M105=68%,J105*K105*L105*F!$B$68,IF(M105=69%,J105*K105*L105*F!$B$69,IF(M105=70%,J105*K105*L105*F!$B$70,IF(M105=71%,J105*K105*L105*F!$B$71,IF(M105=72%,J105*K105*L105*F!$B$72,IF(M105=73%,J105*K105*L105*F!$B$73,IF(M105=74%,J105*K105*L105*F!$B$74,IF(M105=75%,J105*K105*L105*F!$B$75,IF(M105=76%,J105*K105*L105*F!$B$76,IF(M105=77%,J105*K105*L105*F!$B$77,IF(M105=78%,J105*K105*L105*F!$B$78,IF(M105=79%,J105*K105*L105*F!$B$79,IF(M105=80%,J105*K105*L105*F!$B$80,IF(M105=81%,J105*K105*L105*F!$B$81,IF(M105=82%,J105*K105*L105*F!$B$82,IF(M105=83%,J105*K105*L105*F!$B$83,IF(M105=84%,J105*K105*L105*F!$B$84,IF(M105=85%,J105*K105*L105*F!$B$85,IF(M105=86%,J105*K105*L105*F!$B$86,IF(M105=87%,J105*K105*L105*F!$B$87,IF(M105=88%,J105*K105*L105*F!$B$88,IF(M105=89%,J105*K105*L105*F!$B$89,IF(M105=90%,J105*K105*L105*F!$B$90,IF(M105=91%,J105*K105*L105*F!$B$91,IF(M105=92%,J105*K105*L105*F!$B$92,IF(M105=93%,J105*K105*L105*F!$B$93,IF(M105=94%,J105*K105*L105*F!$B$94,IF(M105=95%,J105*K105*L105*F!$B$95,IF(M105=96%,J105*K105*L105*F!$B$96,IF(M105=97%,J105*K105*L105*F!$B$97,IF(M105=98%,J105*K105*L105*F!$B$98,IF(M105=99%,J105*K105*L105*F!$B$99,IF(M105&gt;99%,J105*K105*L105*F!$B$100,))))))))))))))))))))))))))))))))))))))))))))))))))))))))+IF(Q105&lt;30%,0,IF(Q105&lt;35%,N105*O105*P105*F!$B$33,IF(Q105&lt;40%,N105*O105*P105*F!$B$38,IF(Q105&lt;45%,N105*O105*P105*F!$B$43,IF(Q105&lt;50%,N105*O105*P105*F!$B$48,IF(Q105=50%,N105*O105*P105*F!$B$50,IF(Q105=51%,N105*O105*P105*F!$B$51,IF(Q105=52%,N105*O105*P105*F!$B$52,IF(Q105=53%,N105*O105*P105*F!$B$53,IF(Q105=54%,N105*O105*P105*F!$B$54,IF(Q105=55%,N105*O105*P105*F!$B$55,IF(Q105=56%,N105*O105*P105*F!$B$56,IF(Q105=57%,N105*O105*P105*F!$B$57,IF(Q105=58%,N105*O105*P105*F!$B$58,IF(Q105=59%,N105*O105*P105*F!$B$59,IF(Q105=60%,N105*O105*P105*F!$B$60,IF(Q105=61%,N105*O105*P105*F!$B$61,IF(Q105=62%,N105*O105*P105*F!$B$62,IF(Q105=63%,N105*O105*P105*F!$B$63,IF(Q105=64%,N105*O105*P105*F!$B$64,IF(Q105=65%,N105*O105*P105*F!$B$65,IF(Q105=66%,N105*O105*P105*F!$B$66,IF(Q105=67%,N105*O105*P105*F!$B$67,IF(Q105=68%,N105*O105*P105*F!$B$68,IF(Q105=69%,N105*O105*P105*F!$B$69,IF(Q105=70%,N105*O105*P105*F!$B$70,IF(Q105=71%,N105*O105*P105*F!$B$71,IF(Q105=72%,N105*O105*P105*F!$B$72,IF(Q105=73%,N105*O105*P105*F!$B$73,IF(Q105=74%,N105*O105*P105*F!$B$74,IF(Q105=75%,N105*O105*P105*F!$B$75,IF(Q105=76%,N105*O105*P105*F!$B$76,IF(Q105=77%,N105*O105*P105*F!$B$77,IF(Q105=78%,N105*O105*P105*F!$B$78,IF(Q105=79%,N105*O105*P105*F!$B$79,IF(Q105=80%,N105*O105*P105*F!$B$80,IF(Q105=81%,N105*O105*P105*F!$B$81,IF(Q105=82%,N105*O105*P105*F!$B$82,IF(Q105=83%,N105*O105*P105*F!$B$83,IF(Q105=84%,N105*O105*P105*F!$B$84,IF(Q105=85%,N105*O105*P105*F!$B$85,IF(Q105=86%,N105*O105*P105*F!$B$86,IF(Q105=87%,N105*O105*P105*F!$B$87,IF(Q105=88%,N105*O105*P105*F!$B$88,IF(Q105=89%,N105*O105*P105*F!$B$89,IF(Q105=90%,N105*O105*P105*F!$B$90,IF(Q105=91%,N105*O105*P105*F!$B$91,IF(Q105=92%,N105*O105*P105*F!$B$92,IF(Q105=93%,N105*O105*P105*F!$B$93,IF(Q105=94%,N105*O105*P105*F!$B$94,IF(Q105=95%,N105*O105*P105*F!$B$95,IF(Q105=96%,N105*O105*P105*F!$B$96,IF(Q105=97%,N105*O105*P105*F!$B$97,IF(Q105=98%,N105*O105*P105*F!$B$98,IF(Q105=99%,N105*O105*P105*F!$B$99,IF(Q105&gt;99%,N105*O105*P105*F!$B$100,))))))))))))))))))))))))))))))))))))))))))))))))))))))))+IF(U105&lt;30%,0,IF(U105&lt;35%,R105*S105*T105*F!$B$33,IF(U105&lt;40%,R105*S105*T105*F!$B$38,IF(U105&lt;45%,R105*S105*T105*F!$B$43,IF(U105&lt;50%,R105*S105*T105*F!$B$48,IF(U105=50%,R105*S105*T105*F!$B$50,IF(U105=51%,R105*S105*T105*F!$B$51,IF(U105=52%,R105*S105*T105*F!$B$52,IF(U105=53%,R105*S105*T105*F!$B$53,IF(U105=54%,R105*S105*T105*F!$B$54,IF(U105=55%,R105*S105*T105*F!$B$55,IF(U105=56%,R105*S105*T105*F!$B$56,IF(U105=57%,R105*S105*T105*F!$B$57,IF(U105=58%,R105*S105*T105*F!$B$58,IF(U105=59%,R105*S105*T105*F!$B$59,IF(U105=60%,R105*S105*T105*F!$B$60,IF(U105=61%,R105*S105*T105*F!$B$61,IF(U105=62%,R105*S105*T105*F!$B$62,IF(U105=63%,R105*S105*T105*F!$B$63,IF(U105=64%,R105*S105*T105*F!$B$64,IF(U105=65%,R105*S105*T105*F!$B$65,IF(U105=66%,R105*S105*T105*F!$B$66,IF(U105=67%,R105*S105*T105*F!$B$67,IF(U105=68%,R105*S105*T105*F!$B$68,IF(U105=69%,R105*S105*T105*F!$B$69,IF(U105=70%,R105*S105*T105*F!$B$70,IF(U105=71%,R105*S105*T105*F!$B$71,IF(U105=72%,R105*S105*T105*F!$B$72,IF(U105=73%,R105*S105*T105*F!$B$73,IF(U105=74%,R105*S105*T105*F!$B$74,IF(U105=75%,R105*S105*T105*F!$B$75,IF(U105=76%,R105*S105*T105*F!$B$76,IF(U105=77%,R105*S105*T105*F!$B$77,IF(U105=78%,R105*S105*T105*F!$B$78,IF(U105=79%,R105*S105*T105*F!$B$79,IF(U105=80%,R105*S105*T105*F!$B$80,IF(U105=81%,R105*S105*T105*F!$B$81,IF(U105=82%,R105*S105*T105*F!$B$82,IF(U105=83%,R105*S105*T105*F!$B$83,IF(U105=84%,R105*S105*T105*F!$B$84,IF(U105=85%,R105*S105*T105*F!$B$85,IF(U105=86%,R105*S105*T105*F!$B$86,IF(U105=87%,R105*S105*T105*F!$B$87,IF(U105=88%,R105*S105*T105*F!$B$88,IF(U105=89%,R105*S105*T105*F!$B$89,IF(U105=90%,R105*S105*T105*F!$B$90,IF(U105=91%,R105*S105*T105*F!$B$91,IF(U105=92%,R105*S105*T105*F!$B$92,IF(U105=93%,R105*S105*T105*F!$B$93,IF(U105=94%,R105*S105*T105*F!$B$94,IF(U105=95%,R105*S105*T105*F!$B$95,IF(U105=96%,R105*S105*T105*F!$B$96,IF(U105=97%,R105*S105*T105*F!$B$97,IF(U105=98%,R105*S105*T105*F!$B$98,IF(U105=99%,R105*S105*T105*F!$B$99,IF(U105&gt;99%,R105*S105*T105*F!$B$100)))))))))))))))))))))))))))))))))))))))))))))))))))))))))*IF(ISNUMBER(E105),E105,1)*IF(ISNUMBER(D105),D105,1)</f>
        <v>0</v>
      </c>
      <c r="AA105" s="32">
        <f t="shared" ref="AA105:AA110" si="252">G105*H105+K105*L105+O105*P105+S105*T105</f>
        <v>0</v>
      </c>
      <c r="AB105" s="38">
        <f t="shared" ref="AB105:AB110" si="253">(H105*(IF(I105&lt;45%,0.5,IF(I105&lt;55%,0.8,IF(I105&lt;65%,0.9,IF(I105&lt;75%,1,IF(I105&lt;85%,1.1,1.2))))))+L105*(IF(M105&lt;45%,0.5,IF(M105&lt;55%,0.8,IF(M105&lt;65%,0.9,IF(M105&lt;75%,1,IF(M105&lt;85%,1.1,1.2))))))+P105*(IF(Q105&lt;45%,0.5,IF(Q105&lt;55%,0.8,IF(Q105&lt;65%,0.9,IF(Q105&lt;75%,1,IF(Q105&lt;85%,1.1,1.2))))))+T105*(IF(U105&lt;45%,0.5,IF(U105&lt;55%,0.8,IF(U105&lt;65%,0.9,IF(U105&lt;75%,1,IF(U105&lt;85%,1.1,1.2)))))))*IF(D105&gt;=0.8,6,IF(D105&lt;=0.4,1.5,3))</f>
        <v>0</v>
      </c>
      <c r="AC105" s="9"/>
      <c r="AD105" s="9"/>
      <c r="AE105" s="9"/>
      <c r="AF105" s="112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ht="15.0" hidden="1" customHeight="1">
      <c r="A106" s="142">
        <f>A99+1</f>
        <v>42351</v>
      </c>
      <c r="B106" s="44" t="str">
        <f t="shared" ref="B106:C106" si="241">IF(B69="","",B69)</f>
        <v/>
      </c>
      <c r="C106" s="149" t="str">
        <f t="shared" si="241"/>
        <v/>
      </c>
      <c r="D106" s="46" t="str">
        <f t="shared" si="242"/>
        <v/>
      </c>
      <c r="E106" s="47" t="str">
        <f t="shared" si="163"/>
        <v/>
      </c>
      <c r="F106" s="48"/>
      <c r="G106" s="49"/>
      <c r="H106" s="49"/>
      <c r="I106" s="50" t="str">
        <f t="shared" si="243"/>
        <v/>
      </c>
      <c r="J106" s="48"/>
      <c r="K106" s="49"/>
      <c r="L106" s="49"/>
      <c r="M106" s="50" t="str">
        <f t="shared" si="244"/>
        <v/>
      </c>
      <c r="N106" s="48"/>
      <c r="O106" s="49"/>
      <c r="P106" s="49"/>
      <c r="Q106" s="50" t="str">
        <f t="shared" si="245"/>
        <v/>
      </c>
      <c r="R106" s="48"/>
      <c r="S106" s="49"/>
      <c r="T106" s="49"/>
      <c r="U106" s="50" t="str">
        <f t="shared" si="246"/>
        <v/>
      </c>
      <c r="V106" s="134">
        <f t="shared" si="247"/>
        <v>0</v>
      </c>
      <c r="W106" s="53">
        <f t="shared" si="248"/>
        <v>0</v>
      </c>
      <c r="X106" s="54">
        <f t="shared" si="249"/>
        <v>0</v>
      </c>
      <c r="Y106" s="137" t="str">
        <f t="shared" si="250"/>
        <v/>
      </c>
      <c r="Z106" s="53">
        <f t="shared" si="251"/>
        <v>0</v>
      </c>
      <c r="AA106" s="49">
        <f t="shared" si="252"/>
        <v>0</v>
      </c>
      <c r="AB106" s="56">
        <f t="shared" si="253"/>
        <v>0</v>
      </c>
      <c r="AC106" s="9"/>
      <c r="AD106" s="9"/>
      <c r="AE106" s="9"/>
      <c r="AF106" s="112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ht="15.75" hidden="1" customHeight="1">
      <c r="A107" s="57"/>
      <c r="B107" s="44" t="str">
        <f t="shared" ref="B107:C107" si="254">IF(B70="","",B70)</f>
        <v/>
      </c>
      <c r="C107" s="149" t="str">
        <f t="shared" si="254"/>
        <v/>
      </c>
      <c r="D107" s="46" t="str">
        <f t="shared" si="242"/>
        <v/>
      </c>
      <c r="E107" s="47" t="str">
        <f t="shared" si="163"/>
        <v/>
      </c>
      <c r="F107" s="59"/>
      <c r="G107" s="60"/>
      <c r="H107" s="60"/>
      <c r="I107" s="61" t="str">
        <f t="shared" si="243"/>
        <v/>
      </c>
      <c r="J107" s="59"/>
      <c r="K107" s="60"/>
      <c r="L107" s="60"/>
      <c r="M107" s="61" t="str">
        <f t="shared" si="244"/>
        <v/>
      </c>
      <c r="N107" s="59"/>
      <c r="O107" s="60"/>
      <c r="P107" s="60"/>
      <c r="Q107" s="61" t="str">
        <f t="shared" si="245"/>
        <v/>
      </c>
      <c r="R107" s="59"/>
      <c r="S107" s="60"/>
      <c r="T107" s="60"/>
      <c r="U107" s="61" t="str">
        <f t="shared" si="246"/>
        <v/>
      </c>
      <c r="V107" s="104">
        <f t="shared" si="247"/>
        <v>0</v>
      </c>
      <c r="W107" s="64">
        <f t="shared" si="248"/>
        <v>0</v>
      </c>
      <c r="X107" s="65">
        <f t="shared" si="249"/>
        <v>0</v>
      </c>
      <c r="Y107" s="137" t="str">
        <f t="shared" si="250"/>
        <v/>
      </c>
      <c r="Z107" s="64">
        <f t="shared" si="251"/>
        <v>0</v>
      </c>
      <c r="AA107" s="60">
        <f t="shared" si="252"/>
        <v>0</v>
      </c>
      <c r="AB107" s="66">
        <f t="shared" si="253"/>
        <v>0</v>
      </c>
      <c r="AC107" s="9"/>
      <c r="AD107" s="9"/>
      <c r="AE107" s="9"/>
      <c r="AF107" s="112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ht="14.25" hidden="1" customHeight="1">
      <c r="A108" s="57"/>
      <c r="B108" s="44" t="str">
        <f t="shared" ref="B108:C108" si="255">IF(B71="","",B71)</f>
        <v/>
      </c>
      <c r="C108" s="149" t="str">
        <f t="shared" si="255"/>
        <v/>
      </c>
      <c r="D108" s="46" t="str">
        <f t="shared" si="242"/>
        <v/>
      </c>
      <c r="E108" s="47" t="str">
        <f t="shared" si="163"/>
        <v/>
      </c>
      <c r="F108" s="48"/>
      <c r="G108" s="49"/>
      <c r="H108" s="49"/>
      <c r="I108" s="50" t="str">
        <f t="shared" si="243"/>
        <v/>
      </c>
      <c r="J108" s="48"/>
      <c r="K108" s="49"/>
      <c r="L108" s="49"/>
      <c r="M108" s="50" t="str">
        <f t="shared" si="244"/>
        <v/>
      </c>
      <c r="N108" s="48"/>
      <c r="O108" s="49"/>
      <c r="P108" s="49"/>
      <c r="Q108" s="50" t="str">
        <f t="shared" si="245"/>
        <v/>
      </c>
      <c r="R108" s="48"/>
      <c r="S108" s="49"/>
      <c r="T108" s="49"/>
      <c r="U108" s="50" t="str">
        <f t="shared" si="246"/>
        <v/>
      </c>
      <c r="V108" s="134">
        <f t="shared" si="247"/>
        <v>0</v>
      </c>
      <c r="W108" s="53">
        <f t="shared" si="248"/>
        <v>0</v>
      </c>
      <c r="X108" s="54">
        <f t="shared" si="249"/>
        <v>0</v>
      </c>
      <c r="Y108" s="137" t="str">
        <f t="shared" si="250"/>
        <v/>
      </c>
      <c r="Z108" s="53">
        <f t="shared" si="251"/>
        <v>0</v>
      </c>
      <c r="AA108" s="49">
        <f t="shared" si="252"/>
        <v>0</v>
      </c>
      <c r="AB108" s="56">
        <f t="shared" si="253"/>
        <v>0</v>
      </c>
      <c r="AC108" s="9"/>
      <c r="AD108" s="9"/>
      <c r="AE108" s="9"/>
      <c r="AF108" s="112"/>
      <c r="AG108" s="9"/>
      <c r="AH108" s="9"/>
      <c r="AI108" s="9"/>
      <c r="AJ108" s="9"/>
      <c r="AK108" s="9"/>
      <c r="AL108" s="9"/>
      <c r="AM108" s="9"/>
      <c r="AN108" s="180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ht="15.75" hidden="1" customHeight="1">
      <c r="A109" s="57"/>
      <c r="B109" s="44" t="str">
        <f t="shared" ref="B109:C109" si="256">IF(B72="","",B72)</f>
        <v/>
      </c>
      <c r="C109" s="149" t="str">
        <f t="shared" si="256"/>
        <v/>
      </c>
      <c r="D109" s="46" t="str">
        <f t="shared" si="242"/>
        <v/>
      </c>
      <c r="E109" s="47" t="str">
        <f t="shared" si="163"/>
        <v/>
      </c>
      <c r="F109" s="59"/>
      <c r="G109" s="60"/>
      <c r="H109" s="60"/>
      <c r="I109" s="61" t="str">
        <f t="shared" si="243"/>
        <v/>
      </c>
      <c r="J109" s="59"/>
      <c r="K109" s="60"/>
      <c r="L109" s="60"/>
      <c r="M109" s="61" t="str">
        <f t="shared" si="244"/>
        <v/>
      </c>
      <c r="N109" s="59"/>
      <c r="O109" s="60"/>
      <c r="P109" s="60"/>
      <c r="Q109" s="61" t="str">
        <f t="shared" si="245"/>
        <v/>
      </c>
      <c r="R109" s="59"/>
      <c r="S109" s="60"/>
      <c r="T109" s="60"/>
      <c r="U109" s="61" t="str">
        <f t="shared" si="246"/>
        <v/>
      </c>
      <c r="V109" s="104">
        <f t="shared" si="247"/>
        <v>0</v>
      </c>
      <c r="W109" s="64">
        <f t="shared" si="248"/>
        <v>0</v>
      </c>
      <c r="X109" s="62">
        <f t="shared" si="249"/>
        <v>0</v>
      </c>
      <c r="Y109" s="137" t="str">
        <f t="shared" si="250"/>
        <v/>
      </c>
      <c r="Z109" s="64">
        <f t="shared" si="251"/>
        <v>0</v>
      </c>
      <c r="AA109" s="60">
        <f t="shared" si="252"/>
        <v>0</v>
      </c>
      <c r="AB109" s="66">
        <f t="shared" si="253"/>
        <v>0</v>
      </c>
      <c r="AC109" s="9"/>
      <c r="AD109" s="9"/>
      <c r="AE109" s="9"/>
      <c r="AF109" s="112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ht="15.75" hidden="1" customHeight="1">
      <c r="A110" s="57"/>
      <c r="B110" s="44" t="str">
        <f t="shared" ref="B110:C110" si="257">IF(B73="","",B73)</f>
        <v/>
      </c>
      <c r="C110" s="149" t="str">
        <f t="shared" si="257"/>
        <v/>
      </c>
      <c r="D110" s="46" t="str">
        <f t="shared" si="242"/>
        <v/>
      </c>
      <c r="E110" s="47" t="str">
        <f t="shared" si="163"/>
        <v/>
      </c>
      <c r="F110" s="48"/>
      <c r="G110" s="49"/>
      <c r="H110" s="49"/>
      <c r="I110" s="50" t="str">
        <f t="shared" si="243"/>
        <v/>
      </c>
      <c r="J110" s="48"/>
      <c r="K110" s="49"/>
      <c r="L110" s="49"/>
      <c r="M110" s="50" t="str">
        <f t="shared" si="244"/>
        <v/>
      </c>
      <c r="N110" s="48"/>
      <c r="O110" s="49"/>
      <c r="P110" s="49"/>
      <c r="Q110" s="50" t="str">
        <f t="shared" si="245"/>
        <v/>
      </c>
      <c r="R110" s="48"/>
      <c r="S110" s="49"/>
      <c r="T110" s="49"/>
      <c r="U110" s="50" t="str">
        <f t="shared" si="246"/>
        <v/>
      </c>
      <c r="V110" s="134">
        <f t="shared" si="247"/>
        <v>0</v>
      </c>
      <c r="W110" s="53">
        <f t="shared" si="248"/>
        <v>0</v>
      </c>
      <c r="X110" s="54">
        <f t="shared" si="249"/>
        <v>0</v>
      </c>
      <c r="Y110" s="137" t="str">
        <f t="shared" si="250"/>
        <v/>
      </c>
      <c r="Z110" s="53">
        <f t="shared" si="251"/>
        <v>0</v>
      </c>
      <c r="AA110" s="49">
        <f t="shared" si="252"/>
        <v>0</v>
      </c>
      <c r="AB110" s="56">
        <f t="shared" si="253"/>
        <v>0</v>
      </c>
      <c r="AC110" s="9"/>
      <c r="AD110" s="9"/>
      <c r="AE110" s="9"/>
      <c r="AF110" s="112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ht="15.75" hidden="1" customHeight="1">
      <c r="A111" s="72"/>
      <c r="B111" s="73" t="str">
        <f t="shared" ref="B111:C111" si="258">IF(B74="","",B74)</f>
        <v/>
      </c>
      <c r="C111" s="150" t="str">
        <f t="shared" si="258"/>
        <v/>
      </c>
      <c r="D111" s="75">
        <f>ROUND(IFERROR((D105*(G105*H105+K105*L105+O105*P105+S105*T105)+D106*(G106*H106+K106*L106+O106*P106+S106*T106)+D107*(G107*H107+K107*L107+O107*P107+S107*T107)+D108*(G108*H108+K108*L108+O108*P108+S108*T108)+D109*(G109*H109+K109*L109+O109*P109+S109*T109)+D110*(G110*H110+K110*L110+O110*P110+S110*T110))/((G105*H105+K105*L105+O105*P105+S105*T105)+(G106*H106+K106*L106+O106*P106+S106*T106)+(G107*H107+K107*L107+O107*P107+S107*T107)+(G108*H108+K108*L108+O108*P108+S108*T108)+(G109*H109+K109*L109+O109*P109+S109*T109)+(G110*H110+K110*L110+O110*P110+S110*T110)),0),2)</f>
        <v>0</v>
      </c>
      <c r="E111" s="76" t="str">
        <f t="shared" si="163"/>
        <v/>
      </c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125">
        <f>SUM(V105:V110)</f>
        <v>0</v>
      </c>
      <c r="W111" s="82">
        <f t="shared" ref="W111:W112" si="260">IFERROR(V111/AA111,0)</f>
        <v>0</v>
      </c>
      <c r="X111" s="83">
        <f>ROUND(IFERROR(((I105*G105*H105+M105*K105*L105+Q105*O105*P105+U105*S105*T105)+(I106*G106*H106+M106*K106*L106+Q106*O106*P106+U106*S106*T106)+(I107*G107*H107+M107*K107*L107+Q107*O107*P107+U107*S107*T107)+(I108*G108*H108+M108*K108*L108+Q108*O108*P108+U108*S108*T108)+(I109*G109*H109+M109*K109*L109+Q109*O109*P109+U109*S109*T109)+(I110*G110*H110+M110*K110*L110+Q110*O110*P110+U110*S110*T110))/((G105*H105+K105*L105+O105*P105+S105*T105)+(G106*H106+K106*L106+O106*P106+S106*T106)+(G107*H107+K107*L107+O107*P107+S107*T107)+(G108*H108+K108*L108+O108*P108+S108*T108)+(G109*H109+K109*L109+O109*P109+S109*T109)+(G110*H110+K110*L110+O110*P110+S110*T110)),0),3)</f>
        <v>0</v>
      </c>
      <c r="Y111" s="84"/>
      <c r="Z111" s="82">
        <f t="shared" ref="Z111:AA111" si="259">SUM(Z105:Z110)</f>
        <v>0</v>
      </c>
      <c r="AA111" s="85">
        <f t="shared" si="259"/>
        <v>0</v>
      </c>
      <c r="AB111" s="86">
        <f>IF(SUM(AB105:AB110)=0,TIME(,0,),TIME(,SUM(AB105:AB110)+30,))</f>
        <v>0</v>
      </c>
      <c r="AC111" s="9"/>
      <c r="AD111" s="9"/>
      <c r="AE111" s="9"/>
      <c r="AF111" s="112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ht="15.75" customHeight="1">
      <c r="A112" s="151" t="s">
        <v>48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3"/>
      <c r="V112" s="152">
        <f>V120+V127+V134+V141+V148</f>
        <v>12754.5</v>
      </c>
      <c r="W112" s="153">
        <f t="shared" si="260"/>
        <v>18.16880342</v>
      </c>
      <c r="X112" s="154"/>
      <c r="Y112" s="155">
        <v>0.01</v>
      </c>
      <c r="Z112" s="156" t="str">
        <f t="shared" ref="Z112:AB112" si="261">Z120+Z127+Z134+Z141+Z148</f>
        <v>#REF!</v>
      </c>
      <c r="AA112" s="154">
        <f t="shared" si="261"/>
        <v>702</v>
      </c>
      <c r="AB112" s="157">
        <f t="shared" si="261"/>
        <v>0.1784722222</v>
      </c>
      <c r="AC112" s="9"/>
      <c r="AD112" s="9"/>
      <c r="AE112" s="9"/>
      <c r="AF112" s="112"/>
      <c r="AG112" s="9"/>
      <c r="AH112" s="9"/>
      <c r="AI112" s="9"/>
      <c r="AJ112" s="9"/>
      <c r="AK112" s="9"/>
      <c r="AL112" s="9"/>
      <c r="AM112" s="9"/>
      <c r="AN112" s="9"/>
      <c r="AO112" s="17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ht="15.75" customHeight="1">
      <c r="A113" s="15" t="s">
        <v>1</v>
      </c>
      <c r="B113" s="158" t="s">
        <v>2</v>
      </c>
      <c r="C113" s="159" t="s">
        <v>3</v>
      </c>
      <c r="D113" s="160" t="s">
        <v>46</v>
      </c>
      <c r="E113" s="18" t="s">
        <v>5</v>
      </c>
      <c r="F113" s="158" t="s">
        <v>6</v>
      </c>
      <c r="G113" s="158" t="s">
        <v>7</v>
      </c>
      <c r="H113" s="158" t="s">
        <v>8</v>
      </c>
      <c r="I113" s="158" t="s">
        <v>9</v>
      </c>
      <c r="J113" s="158" t="s">
        <v>6</v>
      </c>
      <c r="K113" s="158" t="s">
        <v>7</v>
      </c>
      <c r="L113" s="158" t="s">
        <v>8</v>
      </c>
      <c r="M113" s="158" t="s">
        <v>9</v>
      </c>
      <c r="N113" s="158" t="s">
        <v>6</v>
      </c>
      <c r="O113" s="158" t="s">
        <v>7</v>
      </c>
      <c r="P113" s="158" t="s">
        <v>8</v>
      </c>
      <c r="Q113" s="158" t="s">
        <v>9</v>
      </c>
      <c r="R113" s="158" t="s">
        <v>6</v>
      </c>
      <c r="S113" s="158" t="s">
        <v>7</v>
      </c>
      <c r="T113" s="158" t="s">
        <v>8</v>
      </c>
      <c r="U113" s="158" t="s">
        <v>9</v>
      </c>
      <c r="V113" s="158" t="s">
        <v>10</v>
      </c>
      <c r="W113" s="160" t="s">
        <v>11</v>
      </c>
      <c r="X113" s="160" t="s">
        <v>12</v>
      </c>
      <c r="Y113" s="181" t="s">
        <v>13</v>
      </c>
      <c r="Z113" s="162" t="s">
        <v>14</v>
      </c>
      <c r="AA113" s="158" t="s">
        <v>15</v>
      </c>
      <c r="AB113" s="163" t="s">
        <v>16</v>
      </c>
      <c r="AC113" s="9"/>
      <c r="AD113" s="9"/>
      <c r="AE113" s="9"/>
      <c r="AF113" s="112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ht="15.75" customHeight="1">
      <c r="A114" s="26" t="s">
        <v>17</v>
      </c>
      <c r="B114" s="27" t="s">
        <v>18</v>
      </c>
      <c r="C114" s="148" t="str">
        <f t="shared" ref="C114:C119" si="262">IF(C77="","",C77)</f>
        <v>Ягодичный мост со штангой</v>
      </c>
      <c r="D114" s="29">
        <f t="shared" ref="D114:D119" si="263">D77</f>
        <v>1</v>
      </c>
      <c r="E114" s="30" t="str">
        <f t="shared" ref="E114:E148" si="264">IF(E77="","",E77)</f>
        <v/>
      </c>
      <c r="F114" s="31">
        <f t="shared" ref="F114:F119" si="265">IF(I114&lt;&gt;0,(IFERROR(IF($Y114&gt;50,MROUND($Y114*I114,2.5),IF($Y114&lt;15,MROUND($Y114*I114,0.1),MROUND($Y114*I114,1))),)),"")</f>
        <v>37.5</v>
      </c>
      <c r="G114" s="32">
        <v>12.0</v>
      </c>
      <c r="H114" s="32">
        <v>2.0</v>
      </c>
      <c r="I114" s="33">
        <v>0.4</v>
      </c>
      <c r="J114" s="31">
        <f t="shared" ref="J114:J119" si="266">IF(M114&lt;&gt;0,(IFERROR(IF($Y114&gt;50,MROUND($Y114*M114,2.5),IF($Y114&lt;15,MROUND($Y114*M114,0.1),MROUND($Y114*M114,1))),)),"")</f>
        <v>42.5</v>
      </c>
      <c r="K114" s="32">
        <v>15.0</v>
      </c>
      <c r="L114" s="32">
        <v>1.0</v>
      </c>
      <c r="M114" s="33">
        <v>0.45</v>
      </c>
      <c r="N114" s="31" t="str">
        <f t="shared" ref="N114:N119" si="267">IF(Q114&lt;&gt;0,(IFERROR(IF($Y114&gt;50,MROUND($Y114*Q114,2.5),IF($Y114&lt;15,MROUND($Y114*Q114,0.1),MROUND($Y114*Q114,1))),)),"")</f>
        <v/>
      </c>
      <c r="O114" s="32"/>
      <c r="P114" s="32"/>
      <c r="Q114" s="33">
        <v>0.0</v>
      </c>
      <c r="R114" s="31" t="str">
        <f t="shared" ref="R114:R119" si="268">IF(U114&lt;&gt;0,(IFERROR(IF($Y114&gt;50,MROUND($Y114*U114,2.5),IF($Y114&lt;15,MROUND($Y114*U114,0.1),MROUND($Y114*U114,1))),)),"")</f>
        <v/>
      </c>
      <c r="S114" s="32"/>
      <c r="T114" s="32"/>
      <c r="U114" s="34">
        <v>0.0</v>
      </c>
      <c r="V114" s="35">
        <f t="shared" ref="V114:V119" si="269">(IF(ISNUMBER(F114),F114,1)*G114*H114+IF(ISNUMBER(J114),J114,1)*K114*L114+IF(ISNUMBER(N114),N114,1)*O114*P114+IF(ISNUMBER(R114),R114,1)*S114*T114)*IF(ISNUMBER(E114),E114,1)</f>
        <v>1537.5</v>
      </c>
      <c r="W114" s="36">
        <f t="shared" ref="W114:W119" si="270">IFERROR((IF(ISNUMBER(F114),F114,1)*G114*H114+IF(ISNUMBER(J114),J114,1)*K114*L114+IF(ISNUMBER(N114),N114,1)*O114*P114+IF(ISNUMBER(R114),R114,1)*S114*T114)*IF(ISNUMBER(E114),E114,1)/(G114*H114+K114*L114+O114*P114+S114*T114),0)</f>
        <v>39.42307692</v>
      </c>
      <c r="X114" s="34">
        <f t="shared" ref="X114:X119" si="271">ROUND(IFERROR((W114/(Y114*IF(ISNUMBER(E114),E114,1))),0),2)</f>
        <v>0.43</v>
      </c>
      <c r="Y114" s="37">
        <f t="shared" ref="Y114:Y119" si="272">IF(ISNUMBER(Y77), Y77+(Y77*$Y$112),"")</f>
        <v>92.72709</v>
      </c>
      <c r="Z114" s="36" t="str">
        <f t="shared" ref="Z114:Z119" si="273">(IF(I114&lt;30%,0,IF(I114&lt;35%,F114*G114*H114*F!$B$33,IF(I114&lt;40%,F114*G114*H114*F!$B$38,IF(I114&lt;45%,F114*G114*H114*F!$B$43,IF(I114&lt;50%,F114*G114*H114*F!$B$48,IF(I114=50%,F114*G114*H114*F!$B$50,IF(I114=51%,F114*G114*H114*F!$B$51,IF(I114=52%,F114*G114*H114*F!$B$52,IF(I114=53%,F114*G114*H114*F!$B$53,IF(I114=54%,F114*G114*H114*F!$B$54,IF(I114=55%,F114*G114*H114*F!$B$55,IF(I114=56%,F114*G114*H114*F!$B$56,IF(I114=57%,F114*G114*H114*F!$B$57,IF(I114=58%,F114*G114*H114*F!$B$58,IF(I114=59%,F114*G114*H114*F!$B$59,IF(I114=60%,F114*G114*H114*F!$B$60,IF(I114=61%,F114*G114*H114*F!$B$61,IF(I114=62%,F114*G114*H114*F!$B$62,IF(I114=63%,F114*G114*H114*F!$B$63,IF(I114=64%,F114*G114*H114*F!$B$64,IF(I114=65%,F114*G114*H114*F!$B$65,IF(I114=66%,F114*G114*H114*F!$B$66,IF(I114=67%,F114*G114*H114*F!$B$67,IF(I114=68%,F114*G114*H114*F!$B$68,IF(I114=69%,F114*G114*H114*F!$B$69,IF(I114=70%,F114*G114*H114*F!$B$70,IF(I114=71%,F114*G114*H114*F!$B$71,IF(I114=72%,F114*G114*H114*F!$B$72,IF(I114=73%,F114*G114*H114*F!$B$73,IF(I114=74%,F114*G114*H114*F!$B$74,IF(I114=75%,F114*G114*H114*F!$B$75,IF(I114=76%,F114*G114*H114*F!$B$76,IF(I114=77%,F114*G114*H114*F!$B$77,IF(I114=78%,F114*G114*H114*F!$B$78,IF(I114=79%,F114*G114*H114*F!$B$79,IF(I114=80%,F114*G114*H114*F!$B$80,IF(I114=81%,F114*G114*H114*F!$B$81,IF(I114=82%,F114*G114*H114*F!$B$82,IF(I114=83%,F114*G114*H114*F!$B$83,IF(I114=84%,F114*G114*H114*F!$B$84,IF(I114=85%,F114*G114*H114*F!$B$85,IF(I114=86%,F114*G114*H114*F!$B$86,IF(I114=87%,F114*G114*H114*F!$B$87,IF(I114=88%,F114*G114*H114*F!$B$88,IF(I114=89%,F114*G114*H114*F!$B$89,IF(I114=90%,F114*G114*H114*F!$B$90,IF(I114=91%,F114*G114*H114*F!$B$91,IF(I114=92%,F114*G114*H114*F!$B$92,IF(I114=93%,F114*G114*H114*F!$B$93,IF(I114=94%,F114*G114*H114*F!$B$94,IF(I114=95%,F114*G114*H114*F!$B$95,IF(I114=96%,F114*G114*H114*F!$B$96,IF(I114=97%,F114*G114*H114*F!$B$97,IF(I114=98%,F114*G114*H114*F!$B$98,IF(I114=99%,F114*G114*H114*F!$B$99,IF(I114&gt;99%,F114*G114*H114*F!$B$100,))))))))))))))))))))))))))))))))))))))))))))))))))))))))+IF(M114&lt;30%,0,IF(M114&lt;35%,J114*K114*L114*F!$B$33,IF(M114&lt;40%,J114*K114*L114*F!$B$38,IF(M114&lt;45%,J114*K114*L114*F!$B$43,IF(M114&lt;50%,J114*K114*L114*F!$B$48,IF(M114=50%,J114*K114*L114*F!$B$50,IF(M114=51%,J114*K114*L114*F!$B$51,IF(M114=52%,J114*K114*L114*F!$B$52,IF(M114=53%,J114*K114*L114*F!$B$53,IF(M114=54%,J114*K114*L114*F!$B$54,IF(M114=55%,J114*K114*L114*F!$B$55,IF(M114=56%,J114*K114*L114*F!$B$56,IF(M114=57%,J114*K114*L114*F!$B$57,IF(M114=58%,J114*K114*L114*F!$B$58,IF(M114=59%,J114*K114*L114*F!$B$59,IF(M114=60%,J114*K114*L114*F!$B$60,IF(M114=61%,J114*K114*L114*F!$B$61,IF(M114=62%,J114*K114*L114*F!$B$62,IF(M114=63%,J114*K114*L114*F!$B$63,IF(M114=64%,J114*K114*L114*F!$B$64,IF(M114=65%,J114*K114*L114*F!$B$65,IF(M114=66%,J114*K114*L114*F!$B$66,IF(M114=67%,J114*K114*L114*F!$B$67,IF(M114=68%,J114*K114*L114*F!$B$68,IF(M114=69%,J114*K114*L114*F!$B$69,IF(M114=70%,J114*K114*L114*F!$B$70,IF(M114=71%,J114*K114*L114*F!$B$71,IF(M114=72%,J114*K114*L114*F!$B$72,IF(M114=73%,J114*K114*L114*F!$B$73,IF(M114=74%,J114*K114*L114*F!$B$74,IF(M114=75%,J114*K114*L114*F!$B$75,IF(M114=76%,J114*K114*L114*F!$B$76,IF(M114=77%,J114*K114*L114*F!$B$77,IF(M114=78%,J114*K114*L114*F!$B$78,IF(M114=79%,J114*K114*L114*F!$B$79,IF(M114=80%,J114*K114*L114*F!$B$80,IF(M114=81%,J114*K114*L114*F!$B$81,IF(M114=82%,J114*K114*L114*F!$B$82,IF(M114=83%,J114*K114*L114*F!$B$83,IF(M114=84%,J114*K114*L114*F!$B$84,IF(M114=85%,J114*K114*L114*F!$B$85,IF(M114=86%,J114*K114*L114*F!$B$86,IF(M114=87%,J114*K114*L114*F!$B$87,IF(M114=88%,J114*K114*L114*F!$B$88,IF(M114=89%,J114*K114*L114*F!$B$89,IF(M114=90%,J114*K114*L114*F!$B$90,IF(M114=91%,J114*K114*L114*F!$B$91,IF(M114=92%,J114*K114*L114*F!$B$92,IF(M114=93%,J114*K114*L114*F!$B$93,IF(M114=94%,J114*K114*L114*F!$B$94,IF(M114=95%,J114*K114*L114*F!$B$95,IF(M114=96%,J114*K114*L114*F!$B$96,IF(M114=97%,J114*K114*L114*F!$B$97,IF(M114=98%,J114*K114*L114*F!$B$98,IF(M114=99%,J114*K114*L114*F!$B$99,IF(M114&gt;99%,J114*K114*L114*F!$B$100,))))))))))))))))))))))))))))))))))))))))))))))))))))))))+IF(Q114&lt;30%,0,IF(Q114&lt;35%,N114*O114*P114*F!$B$33,IF(Q114&lt;40%,N114*O114*P114*F!$B$38,IF(Q114&lt;45%,N114*O114*P114*F!$B$43,IF(Q114&lt;50%,N114*O114*P114*F!$B$48,IF(Q114=50%,N114*O114*P114*F!$B$50,IF(Q114=51%,N114*O114*P114*F!$B$51,IF(Q114=52%,N114*O114*P114*F!$B$52,IF(Q114=53%,N114*O114*P114*F!$B$53,IF(Q114=54%,N114*O114*P114*F!$B$54,IF(Q114=55%,N114*O114*P114*F!$B$55,IF(Q114=56%,N114*O114*P114*F!$B$56,IF(Q114=57%,N114*O114*P114*F!$B$57,IF(Q114=58%,N114*O114*P114*F!$B$58,IF(Q114=59%,N114*O114*P114*F!$B$59,IF(Q114=60%,N114*O114*P114*F!$B$60,IF(Q114=61%,N114*O114*P114*F!$B$61,IF(Q114=62%,N114*O114*P114*F!$B$62,IF(Q114=63%,N114*O114*P114*F!$B$63,IF(Q114=64%,N114*O114*P114*F!$B$64,IF(Q114=65%,N114*O114*P114*F!$B$65,IF(Q114=66%,N114*O114*P114*F!$B$66,IF(Q114=67%,N114*O114*P114*F!$B$67,IF(Q114=68%,N114*O114*P114*F!$B$68,IF(Q114=69%,N114*O114*P114*F!$B$69,IF(Q114=70%,N114*O114*P114*F!$B$70,IF(Q114=71%,N114*O114*P114*F!$B$71,IF(Q114=72%,N114*O114*P114*F!$B$72,IF(Q114=73%,N114*O114*P114*F!$B$73,IF(Q114=74%,N114*O114*P114*F!$B$74,IF(Q114=75%,N114*O114*P114*F!$B$75,IF(Q114=76%,N114*O114*P114*F!$B$76,IF(Q114=77%,N114*O114*P114*F!$B$77,IF(Q114=78%,N114*O114*P114*F!$B$78,IF(Q114=79%,N114*O114*P114*F!$B$79,IF(Q114=80%,N114*O114*P114*F!$B$80,IF(Q114=81%,N114*O114*P114*F!$B$81,IF(Q114=82%,N114*O114*P114*F!$B$82,IF(Q114=83%,N114*O114*P114*F!$B$83,IF(Q114=84%,N114*O114*P114*F!$B$84,IF(Q114=85%,N114*O114*P114*F!$B$85,IF(Q114=86%,N114*O114*P114*F!$B$86,IF(Q114=87%,N114*O114*P114*F!$B$87,IF(Q114=88%,N114*O114*P114*F!$B$88,IF(Q114=89%,N114*O114*P114*F!$B$89,IF(Q114=90%,N114*O114*P114*F!$B$90,IF(Q114=91%,N114*O114*P114*F!$B$91,IF(Q114=92%,N114*O114*P114*F!$B$92,IF(Q114=93%,N114*O114*P114*F!$B$93,IF(Q114=94%,N114*O114*P114*F!$B$94,IF(Q114=95%,N114*O114*P114*F!$B$95,IF(Q114=96%,N114*O114*P114*F!$B$96,IF(Q114=97%,N114*O114*P114*F!$B$97,IF(Q114=98%,N114*O114*P114*F!$B$98,IF(Q114=99%,N114*O114*P114*F!$B$99,IF(Q114&gt;99%,N114*O114*P114*F!$B$100,))))))))))))))))))))))))))))))))))))))))))))))))))))))))+IF(U114&lt;30%,0,IF(U114&lt;35%,R114*S114*T114*F!$B$33,IF(U114&lt;40%,R114*S114*T114*F!$B$38,IF(U114&lt;45%,R114*S114*T114*F!$B$43,IF(U114&lt;50%,R114*S114*T114*F!$B$48,IF(U114=50%,R114*S114*T114*F!$B$50,IF(U114=51%,R114*S114*T114*F!$B$51,IF(U114=52%,R114*S114*T114*F!$B$52,IF(U114=53%,R114*S114*T114*F!$B$53,IF(U114=54%,R114*S114*T114*F!$B$54,IF(U114=55%,R114*S114*T114*F!$B$55,IF(U114=56%,R114*S114*T114*F!$B$56,IF(U114=57%,R114*S114*T114*F!$B$57,IF(U114=58%,R114*S114*T114*F!$B$58,IF(U114=59%,R114*S114*T114*F!$B$59,IF(U114=60%,R114*S114*T114*F!$B$60,IF(U114=61%,R114*S114*T114*F!$B$61,IF(U114=62%,R114*S114*T114*F!$B$62,IF(U114=63%,R114*S114*T114*F!$B$63,IF(U114=64%,R114*S114*T114*F!$B$64,IF(U114=65%,R114*S114*T114*F!$B$65,IF(U114=66%,R114*S114*T114*F!$B$66,IF(U114=67%,R114*S114*T114*F!$B$67,IF(U114=68%,R114*S114*T114*F!$B$68,IF(U114=69%,R114*S114*T114*F!$B$69,IF(U114=70%,R114*S114*T114*F!$B$70,IF(U114=71%,R114*S114*T114*F!$B$71,IF(U114=72%,R114*S114*T114*F!$B$72,IF(U114=73%,R114*S114*T114*F!$B$73,IF(U114=74%,R114*S114*T114*F!$B$74,IF(U114=75%,R114*S114*T114*F!$B$75,IF(U114=76%,R114*S114*T114*F!$B$76,IF(U114=77%,R114*S114*T114*F!$B$77,IF(U114=78%,R114*S114*T114*F!$B$78,IF(U114=79%,R114*S114*T114*F!$B$79,IF(U114=80%,R114*S114*T114*F!$B$80,IF(U114=81%,R114*S114*T114*F!$B$81,IF(U114=82%,R114*S114*T114*F!$B$82,IF(U114=83%,R114*S114*T114*F!$B$83,IF(U114=84%,R114*S114*T114*F!$B$84,IF(U114=85%,R114*S114*T114*F!$B$85,IF(U114=86%,R114*S114*T114*F!$B$86,IF(U114=87%,R114*S114*T114*F!$B$87,IF(U114=88%,R114*S114*T114*F!$B$88,IF(U114=89%,R114*S114*T114*F!$B$89,IF(U114=90%,R114*S114*T114*F!$B$90,IF(U114=91%,R114*S114*T114*F!$B$91,IF(U114=92%,R114*S114*T114*F!$B$92,IF(U114=93%,R114*S114*T114*F!$B$93,IF(U114=94%,R114*S114*T114*F!$B$94,IF(U114=95%,R114*S114*T114*F!$B$95,IF(U114=96%,R114*S114*T114*F!$B$96,IF(U114=97%,R114*S114*T114*F!$B$97,IF(U114=98%,R114*S114*T114*F!$B$98,IF(U114=99%,R114*S114*T114*F!$B$99,IF(U114&gt;99%,R114*S114*T114*F!$B$100)))))))))))))))))))))))))))))))))))))))))))))))))))))))))*IF(ISNUMBER(E114),E114,1)*IF(ISNUMBER(D114),D114,1)</f>
        <v>#REF!</v>
      </c>
      <c r="AA114" s="32">
        <f t="shared" ref="AA114:AA119" si="274">G114*H114+K114*L114+O114*P114+S114*T114</f>
        <v>39</v>
      </c>
      <c r="AB114" s="38">
        <f t="shared" ref="AB114:AB119" si="275">(H114*(IF(I114&lt;45%,0.5,IF(I114&lt;55%,0.8,IF(I114&lt;65%,0.9,IF(I114&lt;75%,1,IF(I114&lt;85%,1.1,1.2))))))+L114*(IF(M114&lt;45%,0.5,IF(M114&lt;55%,0.8,IF(M114&lt;65%,0.9,IF(M114&lt;75%,1,IF(M114&lt;85%,1.1,1.2))))))+P114*(IF(Q114&lt;45%,0.5,IF(Q114&lt;55%,0.8,IF(Q114&lt;65%,0.9,IF(Q114&lt;75%,1,IF(Q114&lt;85%,1.1,1.2))))))+T114*(IF(U114&lt;45%,0.5,IF(U114&lt;55%,0.8,IF(U114&lt;65%,0.9,IF(U114&lt;75%,1,IF(U114&lt;85%,1.1,1.2)))))))*IF(D114&gt;=0.8,6,IF(D114&lt;=0.4,1.5,3))</f>
        <v>10.8</v>
      </c>
      <c r="AC114" s="9"/>
      <c r="AD114" s="9"/>
      <c r="AE114" s="9"/>
      <c r="AF114" s="112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ht="15.0" customHeight="1">
      <c r="A115" s="43">
        <f>A78+7</f>
        <v>42352</v>
      </c>
      <c r="B115" s="44" t="s">
        <v>20</v>
      </c>
      <c r="C115" s="149" t="str">
        <f t="shared" si="262"/>
        <v>Болгарские выпады</v>
      </c>
      <c r="D115" s="46">
        <f t="shared" si="263"/>
        <v>0.3</v>
      </c>
      <c r="E115" s="47" t="str">
        <f t="shared" si="264"/>
        <v/>
      </c>
      <c r="F115" s="48">
        <f t="shared" si="265"/>
        <v>11</v>
      </c>
      <c r="G115" s="49">
        <v>12.0</v>
      </c>
      <c r="H115" s="49">
        <v>3.0</v>
      </c>
      <c r="I115" s="50">
        <v>0.37</v>
      </c>
      <c r="J115" s="48" t="str">
        <f t="shared" si="266"/>
        <v/>
      </c>
      <c r="K115" s="49"/>
      <c r="L115" s="49"/>
      <c r="M115" s="50">
        <v>0.0</v>
      </c>
      <c r="N115" s="48" t="str">
        <f t="shared" si="267"/>
        <v/>
      </c>
      <c r="O115" s="49"/>
      <c r="P115" s="49"/>
      <c r="Q115" s="50">
        <v>0.0</v>
      </c>
      <c r="R115" s="48" t="str">
        <f t="shared" si="268"/>
        <v/>
      </c>
      <c r="S115" s="49"/>
      <c r="T115" s="49"/>
      <c r="U115" s="51">
        <v>0.0</v>
      </c>
      <c r="V115" s="52">
        <f t="shared" si="269"/>
        <v>396</v>
      </c>
      <c r="W115" s="53">
        <f t="shared" si="270"/>
        <v>11</v>
      </c>
      <c r="X115" s="54">
        <f t="shared" si="271"/>
        <v>0.36</v>
      </c>
      <c r="Y115" s="137">
        <f t="shared" si="272"/>
        <v>30.90903</v>
      </c>
      <c r="Z115" s="53" t="str">
        <f t="shared" si="273"/>
        <v>#REF!</v>
      </c>
      <c r="AA115" s="49">
        <f t="shared" si="274"/>
        <v>36</v>
      </c>
      <c r="AB115" s="56">
        <f t="shared" si="275"/>
        <v>2.25</v>
      </c>
      <c r="AC115" s="9"/>
      <c r="AD115" s="9"/>
      <c r="AE115" s="9"/>
      <c r="AF115" s="112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ht="15.75" customHeight="1">
      <c r="A116" s="57"/>
      <c r="B116" s="44" t="s">
        <v>20</v>
      </c>
      <c r="C116" s="149" t="str">
        <f t="shared" si="262"/>
        <v>Разведение ног в тренажёре</v>
      </c>
      <c r="D116" s="46">
        <f t="shared" si="263"/>
        <v>0.3</v>
      </c>
      <c r="E116" s="47">
        <f t="shared" si="264"/>
        <v>5</v>
      </c>
      <c r="F116" s="59">
        <f t="shared" si="265"/>
        <v>3.8</v>
      </c>
      <c r="G116" s="60">
        <v>12.0</v>
      </c>
      <c r="H116" s="60">
        <v>3.0</v>
      </c>
      <c r="I116" s="61">
        <v>0.37</v>
      </c>
      <c r="J116" s="59" t="str">
        <f t="shared" si="266"/>
        <v/>
      </c>
      <c r="K116" s="60"/>
      <c r="L116" s="60"/>
      <c r="M116" s="61">
        <v>0.0</v>
      </c>
      <c r="N116" s="59" t="str">
        <f t="shared" si="267"/>
        <v/>
      </c>
      <c r="O116" s="60"/>
      <c r="P116" s="60"/>
      <c r="Q116" s="61">
        <v>0.0</v>
      </c>
      <c r="R116" s="59" t="str">
        <f t="shared" si="268"/>
        <v/>
      </c>
      <c r="S116" s="60"/>
      <c r="T116" s="60"/>
      <c r="U116" s="62">
        <v>0.0</v>
      </c>
      <c r="V116" s="63">
        <f t="shared" si="269"/>
        <v>684</v>
      </c>
      <c r="W116" s="64">
        <f t="shared" si="270"/>
        <v>19</v>
      </c>
      <c r="X116" s="65">
        <f t="shared" si="271"/>
        <v>0.37</v>
      </c>
      <c r="Y116" s="137">
        <f t="shared" si="272"/>
        <v>10.30301</v>
      </c>
      <c r="Z116" s="64" t="str">
        <f t="shared" si="273"/>
        <v>#REF!</v>
      </c>
      <c r="AA116" s="60">
        <f t="shared" si="274"/>
        <v>36</v>
      </c>
      <c r="AB116" s="66">
        <f t="shared" si="275"/>
        <v>2.25</v>
      </c>
      <c r="AC116" s="9"/>
      <c r="AD116" s="9"/>
      <c r="AE116" s="9"/>
      <c r="AF116" s="112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ht="15.75" customHeight="1">
      <c r="A117" s="57"/>
      <c r="B117" s="44" t="s">
        <v>18</v>
      </c>
      <c r="C117" s="149" t="str">
        <f t="shared" si="262"/>
        <v>Присед</v>
      </c>
      <c r="D117" s="46">
        <f t="shared" si="263"/>
        <v>1.2</v>
      </c>
      <c r="E117" s="47" t="str">
        <f t="shared" si="264"/>
        <v/>
      </c>
      <c r="F117" s="48">
        <f t="shared" si="265"/>
        <v>22.5</v>
      </c>
      <c r="G117" s="49">
        <v>12.0</v>
      </c>
      <c r="H117" s="49">
        <v>1.0</v>
      </c>
      <c r="I117" s="50">
        <v>0.45</v>
      </c>
      <c r="J117" s="67">
        <f t="shared" si="266"/>
        <v>30</v>
      </c>
      <c r="K117" s="49">
        <v>10.0</v>
      </c>
      <c r="L117" s="49">
        <v>3.0</v>
      </c>
      <c r="M117" s="50">
        <v>0.58</v>
      </c>
      <c r="N117" s="48" t="str">
        <f t="shared" si="267"/>
        <v/>
      </c>
      <c r="O117" s="49"/>
      <c r="P117" s="49"/>
      <c r="Q117" s="50">
        <v>0.0</v>
      </c>
      <c r="R117" s="48" t="str">
        <f t="shared" si="268"/>
        <v/>
      </c>
      <c r="S117" s="49"/>
      <c r="T117" s="49"/>
      <c r="U117" s="51">
        <v>0.0</v>
      </c>
      <c r="V117" s="52">
        <f t="shared" si="269"/>
        <v>1170</v>
      </c>
      <c r="W117" s="53">
        <f t="shared" si="270"/>
        <v>27.85714286</v>
      </c>
      <c r="X117" s="54">
        <f t="shared" si="271"/>
        <v>0.54</v>
      </c>
      <c r="Y117" s="137">
        <f t="shared" si="272"/>
        <v>51.51505</v>
      </c>
      <c r="Z117" s="53" t="str">
        <f t="shared" si="273"/>
        <v>#REF!</v>
      </c>
      <c r="AA117" s="49">
        <f t="shared" si="274"/>
        <v>42</v>
      </c>
      <c r="AB117" s="56">
        <f t="shared" si="275"/>
        <v>21</v>
      </c>
      <c r="AC117" s="9"/>
      <c r="AD117" s="9"/>
      <c r="AE117" s="9"/>
      <c r="AF117" s="112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ht="15.75" customHeight="1">
      <c r="A118" s="57"/>
      <c r="B118" s="44" t="s">
        <v>23</v>
      </c>
      <c r="C118" s="149" t="str">
        <f t="shared" si="262"/>
        <v>Жим гантелей вверх</v>
      </c>
      <c r="D118" s="46">
        <f t="shared" si="263"/>
        <v>1.2</v>
      </c>
      <c r="E118" s="47">
        <f t="shared" si="264"/>
        <v>2</v>
      </c>
      <c r="F118" s="59">
        <f t="shared" si="265"/>
        <v>4</v>
      </c>
      <c r="G118" s="60">
        <v>12.0</v>
      </c>
      <c r="H118" s="60">
        <v>1.0</v>
      </c>
      <c r="I118" s="61">
        <v>0.55</v>
      </c>
      <c r="J118" s="59">
        <f t="shared" si="266"/>
        <v>4.5</v>
      </c>
      <c r="K118" s="60">
        <v>10.0</v>
      </c>
      <c r="L118" s="60">
        <v>1.0</v>
      </c>
      <c r="M118" s="61">
        <v>0.62</v>
      </c>
      <c r="N118" s="59">
        <f t="shared" si="267"/>
        <v>5</v>
      </c>
      <c r="O118" s="60">
        <v>10.0</v>
      </c>
      <c r="P118" s="60">
        <v>2.0</v>
      </c>
      <c r="Q118" s="61">
        <v>0.7</v>
      </c>
      <c r="R118" s="59" t="str">
        <f t="shared" si="268"/>
        <v/>
      </c>
      <c r="S118" s="60"/>
      <c r="T118" s="60"/>
      <c r="U118" s="62">
        <v>0.0</v>
      </c>
      <c r="V118" s="63">
        <f t="shared" si="269"/>
        <v>386</v>
      </c>
      <c r="W118" s="64">
        <f t="shared" si="270"/>
        <v>9.19047619</v>
      </c>
      <c r="X118" s="62">
        <f t="shared" si="271"/>
        <v>0.64</v>
      </c>
      <c r="Y118" s="137">
        <f t="shared" si="272"/>
        <v>7.212107</v>
      </c>
      <c r="Z118" s="64" t="str">
        <f t="shared" si="273"/>
        <v>#REF!</v>
      </c>
      <c r="AA118" s="60">
        <f t="shared" si="274"/>
        <v>42</v>
      </c>
      <c r="AB118" s="66">
        <f t="shared" si="275"/>
        <v>22.8</v>
      </c>
      <c r="AC118" s="9"/>
      <c r="AD118" s="9"/>
      <c r="AE118" s="9"/>
      <c r="AF118" s="112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ht="15.75" customHeight="1">
      <c r="A119" s="57"/>
      <c r="B119" s="44" t="s">
        <v>20</v>
      </c>
      <c r="C119" s="149" t="str">
        <f t="shared" si="262"/>
        <v>Разведение гантелей в стороны</v>
      </c>
      <c r="D119" s="46">
        <f t="shared" si="263"/>
        <v>0.4</v>
      </c>
      <c r="E119" s="47">
        <f t="shared" si="264"/>
        <v>2</v>
      </c>
      <c r="F119" s="48">
        <f t="shared" si="265"/>
        <v>2.2</v>
      </c>
      <c r="G119" s="49">
        <v>12.0</v>
      </c>
      <c r="H119" s="49">
        <v>2.0</v>
      </c>
      <c r="I119" s="50">
        <v>0.35</v>
      </c>
      <c r="J119" s="48">
        <f t="shared" si="266"/>
        <v>2.5</v>
      </c>
      <c r="K119" s="49">
        <v>15.0</v>
      </c>
      <c r="L119" s="49">
        <v>1.0</v>
      </c>
      <c r="M119" s="50">
        <v>0.41</v>
      </c>
      <c r="N119" s="48" t="str">
        <f t="shared" si="267"/>
        <v/>
      </c>
      <c r="O119" s="49"/>
      <c r="P119" s="49"/>
      <c r="Q119" s="50">
        <v>0.0</v>
      </c>
      <c r="R119" s="48" t="str">
        <f t="shared" si="268"/>
        <v/>
      </c>
      <c r="S119" s="49"/>
      <c r="T119" s="49"/>
      <c r="U119" s="51">
        <v>0.0</v>
      </c>
      <c r="V119" s="52">
        <f t="shared" si="269"/>
        <v>180.6</v>
      </c>
      <c r="W119" s="53">
        <f t="shared" si="270"/>
        <v>4.630769231</v>
      </c>
      <c r="X119" s="54">
        <f t="shared" si="271"/>
        <v>0.37</v>
      </c>
      <c r="Y119" s="137">
        <f t="shared" si="272"/>
        <v>6.181806</v>
      </c>
      <c r="Z119" s="53" t="str">
        <f t="shared" si="273"/>
        <v>#REF!</v>
      </c>
      <c r="AA119" s="49">
        <f t="shared" si="274"/>
        <v>39</v>
      </c>
      <c r="AB119" s="56">
        <f t="shared" si="275"/>
        <v>2.25</v>
      </c>
      <c r="AC119" s="9"/>
      <c r="AD119" s="9"/>
      <c r="AE119" s="9"/>
      <c r="AF119" s="112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ht="15.75" customHeight="1">
      <c r="A120" s="72"/>
      <c r="B120" s="73" t="str">
        <f t="shared" ref="B120:C120" si="276">IF(B83="","",B83)</f>
        <v/>
      </c>
      <c r="C120" s="174" t="str">
        <f t="shared" si="276"/>
        <v>Разгибание рук на блоке</v>
      </c>
      <c r="D120" s="75">
        <f>ROUND(IFERROR((D114*(G114*H114+K114*L114+O114*P114+S114*T114)+D115*(G115*H115+K115*L115+O115*P115+S115*T115)+D116*(G116*H116+K116*L116+O116*P116+S116*T116)+D117*(G117*H117+K117*L117+O117*P117+S117*T117)+D118*(G118*H118+K118*L118+O118*P118+S118*T118)+D119*(G119*H119+K119*L119+O119*P119+S119*T119))/((G114*H114+K114*L114+O114*P114+S114*T114)+(G115*H115+K115*L115+O115*P115+S115*T115)+(G116*H116+K116*L116+O116*P116+S116*T116)+(G117*H117+K117*L117+O117*P117+S117*T117)+(G118*H118+K118*L118+O118*P118+S118*T118)+(G119*H119+K119*L119+O119*P119+S119*T119)),0),2)</f>
        <v>0.76</v>
      </c>
      <c r="E120" s="76" t="str">
        <f t="shared" si="264"/>
        <v/>
      </c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80"/>
      <c r="V120" s="81">
        <f>SUM(V114:V119)</f>
        <v>4354.1</v>
      </c>
      <c r="W120" s="82">
        <f>IFERROR(V120/AA120,0)</f>
        <v>18.60726496</v>
      </c>
      <c r="X120" s="83">
        <f>ROUND(IFERROR(((I114*G114*H114+M114*K114*L114+Q114*O114*P114+U114*S114*T114)+(I115*G115*H115+M115*K115*L115+Q115*O115*P115+U115*S115*T115)+(I116*G116*H116+M116*K116*L116+Q116*O116*P116+U116*S116*T116)+(I117*G117*H117+M117*K117*L117+Q117*O117*P117+U117*S117*T117)+(I118*G118*H118+M118*K118*L118+Q118*O118*P118+U118*S118*T118)+(I119*G119*H119+M119*K119*L119+Q119*O119*P119+U119*S119*T119))/((G114*H114+K114*L114+O114*P114+S114*T114)+(G115*H115+K115*L115+O115*P115+S115*T115)+(G116*H116+K116*L116+O116*P116+S116*T116)+(G117*H117+K117*L117+O117*P117+S117*T117)+(G118*H118+K118*L118+O118*P118+S118*T118)+(G119*H119+K119*L119+O119*P119+S119*T119)),0),3)</f>
        <v>0.458</v>
      </c>
      <c r="Y120" s="84"/>
      <c r="Z120" s="82" t="str">
        <f t="shared" ref="Z120:AA120" si="277">SUM(Z114:Z119)</f>
        <v>#REF!</v>
      </c>
      <c r="AA120" s="85">
        <f t="shared" si="277"/>
        <v>234</v>
      </c>
      <c r="AB120" s="86">
        <f>IF(SUM(AB114:AB119)=0,TIME(,0,),TIME(,SUM(AB114:AB119)+30,))</f>
        <v>0.06319444444</v>
      </c>
      <c r="AC120" s="9"/>
      <c r="AD120" s="9"/>
      <c r="AE120" s="9"/>
      <c r="AF120" s="112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ht="15.75" customHeight="1">
      <c r="A121" s="88" t="s">
        <v>28</v>
      </c>
      <c r="B121" s="89" t="s">
        <v>20</v>
      </c>
      <c r="C121" s="141" t="str">
        <f t="shared" ref="C121:C125" si="278">IF(C84="","",C84)</f>
        <v>Румынская тяга</v>
      </c>
      <c r="D121" s="29">
        <f t="shared" ref="D121:D126" si="279">D84</f>
        <v>1</v>
      </c>
      <c r="E121" s="91" t="str">
        <f t="shared" si="264"/>
        <v/>
      </c>
      <c r="F121" s="92">
        <f t="shared" ref="F121:F126" si="280">IF(I121&lt;&gt;0,(IFERROR(IF($Y121&gt;50,MROUND($Y121*I121,2.5),IF($Y121&lt;15,MROUND($Y121*I121,0.1),MROUND($Y121*I121,1))),)),"")</f>
        <v>22.5</v>
      </c>
      <c r="G121" s="93">
        <v>12.0</v>
      </c>
      <c r="H121" s="93">
        <v>4.0</v>
      </c>
      <c r="I121" s="94">
        <v>0.41</v>
      </c>
      <c r="J121" s="92" t="str">
        <f t="shared" ref="J121:J126" si="281">IF(M121&lt;&gt;0,(IFERROR(IF($Y121&gt;50,MROUND($Y121*M121,2.5),IF($Y121&lt;15,MROUND($Y121*M121,0.1),MROUND($Y121*M121,1))),)),"")</f>
        <v/>
      </c>
      <c r="K121" s="93"/>
      <c r="L121" s="93"/>
      <c r="M121" s="94">
        <v>0.0</v>
      </c>
      <c r="N121" s="92" t="str">
        <f t="shared" ref="N121:N126" si="282">IF(Q121&lt;&gt;0,(IFERROR(IF($Y121&gt;50,MROUND($Y121*Q121,2.5),IF($Y121&lt;15,MROUND($Y121*Q121,0.1),MROUND($Y121*Q121,1))),)),"")</f>
        <v/>
      </c>
      <c r="O121" s="93"/>
      <c r="P121" s="93"/>
      <c r="Q121" s="94">
        <v>0.0</v>
      </c>
      <c r="R121" s="92" t="str">
        <f t="shared" ref="R121:R126" si="283">IF(U121&lt;&gt;0,(IFERROR(IF($Y121&gt;50,MROUND($Y121*U121,2.5),IF($Y121&lt;15,MROUND($Y121*U121,0.1),MROUND($Y121*U121,1))),)),"")</f>
        <v/>
      </c>
      <c r="S121" s="93"/>
      <c r="T121" s="93"/>
      <c r="U121" s="94">
        <v>0.0</v>
      </c>
      <c r="V121" s="95">
        <f t="shared" ref="V121:V126" si="284">(IF(ISNUMBER(F121),F121,1)*G121*H121+IF(ISNUMBER(J121),J121,1)*K121*L121+IF(ISNUMBER(N121),N121,1)*O121*P121+IF(ISNUMBER(R121),R121,1)*S121*T121)*IF(ISNUMBER(E121),E121,1)</f>
        <v>1080</v>
      </c>
      <c r="W121" s="96">
        <f t="shared" ref="W121:W126" si="285">IFERROR((IF(ISNUMBER(F121),F121,1)*G121*H121+IF(ISNUMBER(J121),J121,1)*K121*L121+IF(ISNUMBER(N121),N121,1)*O121*P121+IF(ISNUMBER(R121),R121,1)*S121*T121)*IF(ISNUMBER(E121),E121,1)/(G121*H121+K121*L121+O121*P121+S121*T121),0)</f>
        <v>22.5</v>
      </c>
      <c r="X121" s="97">
        <f t="shared" ref="X121:X126" si="286">ROUND(IFERROR((W121/(Y121*IF(ISNUMBER(E121),E121,1))),0),2)</f>
        <v>0.4</v>
      </c>
      <c r="Y121" s="37">
        <f t="shared" ref="Y121:Y126" si="287">IF(ISNUMBER(Y84), Y84+(Y84*$Y$112),"")</f>
        <v>56.666555</v>
      </c>
      <c r="Z121" s="96" t="str">
        <f t="shared" ref="Z121:Z126" si="288">(IF(I121&lt;30%,0,IF(I121&lt;35%,F121*G121*H121*F!$B$33,IF(I121&lt;40%,F121*G121*H121*F!$B$38,IF(I121&lt;45%,F121*G121*H121*F!$B$43,IF(I121&lt;50%,F121*G121*H121*F!$B$48,IF(I121=50%,F121*G121*H121*F!$B$50,IF(I121=51%,F121*G121*H121*F!$B$51,IF(I121=52%,F121*G121*H121*F!$B$52,IF(I121=53%,F121*G121*H121*F!$B$53,IF(I121=54%,F121*G121*H121*F!$B$54,IF(I121=55%,F121*G121*H121*F!$B$55,IF(I121=56%,F121*G121*H121*F!$B$56,IF(I121=57%,F121*G121*H121*F!$B$57,IF(I121=58%,F121*G121*H121*F!$B$58,IF(I121=59%,F121*G121*H121*F!$B$59,IF(I121=60%,F121*G121*H121*F!$B$60,IF(I121=61%,F121*G121*H121*F!$B$61,IF(I121=62%,F121*G121*H121*F!$B$62,IF(I121=63%,F121*G121*H121*F!$B$63,IF(I121=64%,F121*G121*H121*F!$B$64,IF(I121=65%,F121*G121*H121*F!$B$65,IF(I121=66%,F121*G121*H121*F!$B$66,IF(I121=67%,F121*G121*H121*F!$B$67,IF(I121=68%,F121*G121*H121*F!$B$68,IF(I121=69%,F121*G121*H121*F!$B$69,IF(I121=70%,F121*G121*H121*F!$B$70,IF(I121=71%,F121*G121*H121*F!$B$71,IF(I121=72%,F121*G121*H121*F!$B$72,IF(I121=73%,F121*G121*H121*F!$B$73,IF(I121=74%,F121*G121*H121*F!$B$74,IF(I121=75%,F121*G121*H121*F!$B$75,IF(I121=76%,F121*G121*H121*F!$B$76,IF(I121=77%,F121*G121*H121*F!$B$77,IF(I121=78%,F121*G121*H121*F!$B$78,IF(I121=79%,F121*G121*H121*F!$B$79,IF(I121=80%,F121*G121*H121*F!$B$80,IF(I121=81%,F121*G121*H121*F!$B$81,IF(I121=82%,F121*G121*H121*F!$B$82,IF(I121=83%,F121*G121*H121*F!$B$83,IF(I121=84%,F121*G121*H121*F!$B$84,IF(I121=85%,F121*G121*H121*F!$B$85,IF(I121=86%,F121*G121*H121*F!$B$86,IF(I121=87%,F121*G121*H121*F!$B$87,IF(I121=88%,F121*G121*H121*F!$B$88,IF(I121=89%,F121*G121*H121*F!$B$89,IF(I121=90%,F121*G121*H121*F!$B$90,IF(I121=91%,F121*G121*H121*F!$B$91,IF(I121=92%,F121*G121*H121*F!$B$92,IF(I121=93%,F121*G121*H121*F!$B$93,IF(I121=94%,F121*G121*H121*F!$B$94,IF(I121=95%,F121*G121*H121*F!$B$95,IF(I121=96%,F121*G121*H121*F!$B$96,IF(I121=97%,F121*G121*H121*F!$B$97,IF(I121=98%,F121*G121*H121*F!$B$98,IF(I121=99%,F121*G121*H121*F!$B$99,IF(I121&gt;99%,F121*G121*H121*F!$B$100,))))))))))))))))))))))))))))))))))))))))))))))))))))))))+IF(M121&lt;30%,0,IF(M121&lt;35%,J121*K121*L121*F!$B$33,IF(M121&lt;40%,J121*K121*L121*F!$B$38,IF(M121&lt;45%,J121*K121*L121*F!$B$43,IF(M121&lt;50%,J121*K121*L121*F!$B$48,IF(M121=50%,J121*K121*L121*F!$B$50,IF(M121=51%,J121*K121*L121*F!$B$51,IF(M121=52%,J121*K121*L121*F!$B$52,IF(M121=53%,J121*K121*L121*F!$B$53,IF(M121=54%,J121*K121*L121*F!$B$54,IF(M121=55%,J121*K121*L121*F!$B$55,IF(M121=56%,J121*K121*L121*F!$B$56,IF(M121=57%,J121*K121*L121*F!$B$57,IF(M121=58%,J121*K121*L121*F!$B$58,IF(M121=59%,J121*K121*L121*F!$B$59,IF(M121=60%,J121*K121*L121*F!$B$60,IF(M121=61%,J121*K121*L121*F!$B$61,IF(M121=62%,J121*K121*L121*F!$B$62,IF(M121=63%,J121*K121*L121*F!$B$63,IF(M121=64%,J121*K121*L121*F!$B$64,IF(M121=65%,J121*K121*L121*F!$B$65,IF(M121=66%,J121*K121*L121*F!$B$66,IF(M121=67%,J121*K121*L121*F!$B$67,IF(M121=68%,J121*K121*L121*F!$B$68,IF(M121=69%,J121*K121*L121*F!$B$69,IF(M121=70%,J121*K121*L121*F!$B$70,IF(M121=71%,J121*K121*L121*F!$B$71,IF(M121=72%,J121*K121*L121*F!$B$72,IF(M121=73%,J121*K121*L121*F!$B$73,IF(M121=74%,J121*K121*L121*F!$B$74,IF(M121=75%,J121*K121*L121*F!$B$75,IF(M121=76%,J121*K121*L121*F!$B$76,IF(M121=77%,J121*K121*L121*F!$B$77,IF(M121=78%,J121*K121*L121*F!$B$78,IF(M121=79%,J121*K121*L121*F!$B$79,IF(M121=80%,J121*K121*L121*F!$B$80,IF(M121=81%,J121*K121*L121*F!$B$81,IF(M121=82%,J121*K121*L121*F!$B$82,IF(M121=83%,J121*K121*L121*F!$B$83,IF(M121=84%,J121*K121*L121*F!$B$84,IF(M121=85%,J121*K121*L121*F!$B$85,IF(M121=86%,J121*K121*L121*F!$B$86,IF(M121=87%,J121*K121*L121*F!$B$87,IF(M121=88%,J121*K121*L121*F!$B$88,IF(M121=89%,J121*K121*L121*F!$B$89,IF(M121=90%,J121*K121*L121*F!$B$90,IF(M121=91%,J121*K121*L121*F!$B$91,IF(M121=92%,J121*K121*L121*F!$B$92,IF(M121=93%,J121*K121*L121*F!$B$93,IF(M121=94%,J121*K121*L121*F!$B$94,IF(M121=95%,J121*K121*L121*F!$B$95,IF(M121=96%,J121*K121*L121*F!$B$96,IF(M121=97%,J121*K121*L121*F!$B$97,IF(M121=98%,J121*K121*L121*F!$B$98,IF(M121=99%,J121*K121*L121*F!$B$99,IF(M121&gt;99%,J121*K121*L121*F!$B$100,))))))))))))))))))))))))))))))))))))))))))))))))))))))))+IF(Q121&lt;30%,0,IF(Q121&lt;35%,N121*O121*P121*F!$B$33,IF(Q121&lt;40%,N121*O121*P121*F!$B$38,IF(Q121&lt;45%,N121*O121*P121*F!$B$43,IF(Q121&lt;50%,N121*O121*P121*F!$B$48,IF(Q121=50%,N121*O121*P121*F!$B$50,IF(Q121=51%,N121*O121*P121*F!$B$51,IF(Q121=52%,N121*O121*P121*F!$B$52,IF(Q121=53%,N121*O121*P121*F!$B$53,IF(Q121=54%,N121*O121*P121*F!$B$54,IF(Q121=55%,N121*O121*P121*F!$B$55,IF(Q121=56%,N121*O121*P121*F!$B$56,IF(Q121=57%,N121*O121*P121*F!$B$57,IF(Q121=58%,N121*O121*P121*F!$B$58,IF(Q121=59%,N121*O121*P121*F!$B$59,IF(Q121=60%,N121*O121*P121*F!$B$60,IF(Q121=61%,N121*O121*P121*F!$B$61,IF(Q121=62%,N121*O121*P121*F!$B$62,IF(Q121=63%,N121*O121*P121*F!$B$63,IF(Q121=64%,N121*O121*P121*F!$B$64,IF(Q121=65%,N121*O121*P121*F!$B$65,IF(Q121=66%,N121*O121*P121*F!$B$66,IF(Q121=67%,N121*O121*P121*F!$B$67,IF(Q121=68%,N121*O121*P121*F!$B$68,IF(Q121=69%,N121*O121*P121*F!$B$69,IF(Q121=70%,N121*O121*P121*F!$B$70,IF(Q121=71%,N121*O121*P121*F!$B$71,IF(Q121=72%,N121*O121*P121*F!$B$72,IF(Q121=73%,N121*O121*P121*F!$B$73,IF(Q121=74%,N121*O121*P121*F!$B$74,IF(Q121=75%,N121*O121*P121*F!$B$75,IF(Q121=76%,N121*O121*P121*F!$B$76,IF(Q121=77%,N121*O121*P121*F!$B$77,IF(Q121=78%,N121*O121*P121*F!$B$78,IF(Q121=79%,N121*O121*P121*F!$B$79,IF(Q121=80%,N121*O121*P121*F!$B$80,IF(Q121=81%,N121*O121*P121*F!$B$81,IF(Q121=82%,N121*O121*P121*F!$B$82,IF(Q121=83%,N121*O121*P121*F!$B$83,IF(Q121=84%,N121*O121*P121*F!$B$84,IF(Q121=85%,N121*O121*P121*F!$B$85,IF(Q121=86%,N121*O121*P121*F!$B$86,IF(Q121=87%,N121*O121*P121*F!$B$87,IF(Q121=88%,N121*O121*P121*F!$B$88,IF(Q121=89%,N121*O121*P121*F!$B$89,IF(Q121=90%,N121*O121*P121*F!$B$90,IF(Q121=91%,N121*O121*P121*F!$B$91,IF(Q121=92%,N121*O121*P121*F!$B$92,IF(Q121=93%,N121*O121*P121*F!$B$93,IF(Q121=94%,N121*O121*P121*F!$B$94,IF(Q121=95%,N121*O121*P121*F!$B$95,IF(Q121=96%,N121*O121*P121*F!$B$96,IF(Q121=97%,N121*O121*P121*F!$B$97,IF(Q121=98%,N121*O121*P121*F!$B$98,IF(Q121=99%,N121*O121*P121*F!$B$99,IF(Q121&gt;99%,N121*O121*P121*F!$B$100,))))))))))))))))))))))))))))))))))))))))))))))))))))))))+IF(U121&lt;30%,0,IF(U121&lt;35%,R121*S121*T121*F!$B$33,IF(U121&lt;40%,R121*S121*T121*F!$B$38,IF(U121&lt;45%,R121*S121*T121*F!$B$43,IF(U121&lt;50%,R121*S121*T121*F!$B$48,IF(U121=50%,R121*S121*T121*F!$B$50,IF(U121=51%,R121*S121*T121*F!$B$51,IF(U121=52%,R121*S121*T121*F!$B$52,IF(U121=53%,R121*S121*T121*F!$B$53,IF(U121=54%,R121*S121*T121*F!$B$54,IF(U121=55%,R121*S121*T121*F!$B$55,IF(U121=56%,R121*S121*T121*F!$B$56,IF(U121=57%,R121*S121*T121*F!$B$57,IF(U121=58%,R121*S121*T121*F!$B$58,IF(U121=59%,R121*S121*T121*F!$B$59,IF(U121=60%,R121*S121*T121*F!$B$60,IF(U121=61%,R121*S121*T121*F!$B$61,IF(U121=62%,R121*S121*T121*F!$B$62,IF(U121=63%,R121*S121*T121*F!$B$63,IF(U121=64%,R121*S121*T121*F!$B$64,IF(U121=65%,R121*S121*T121*F!$B$65,IF(U121=66%,R121*S121*T121*F!$B$66,IF(U121=67%,R121*S121*T121*F!$B$67,IF(U121=68%,R121*S121*T121*F!$B$68,IF(U121=69%,R121*S121*T121*F!$B$69,IF(U121=70%,R121*S121*T121*F!$B$70,IF(U121=71%,R121*S121*T121*F!$B$71,IF(U121=72%,R121*S121*T121*F!$B$72,IF(U121=73%,R121*S121*T121*F!$B$73,IF(U121=74%,R121*S121*T121*F!$B$74,IF(U121=75%,R121*S121*T121*F!$B$75,IF(U121=76%,R121*S121*T121*F!$B$76,IF(U121=77%,R121*S121*T121*F!$B$77,IF(U121=78%,R121*S121*T121*F!$B$78,IF(U121=79%,R121*S121*T121*F!$B$79,IF(U121=80%,R121*S121*T121*F!$B$80,IF(U121=81%,R121*S121*T121*F!$B$81,IF(U121=82%,R121*S121*T121*F!$B$82,IF(U121=83%,R121*S121*T121*F!$B$83,IF(U121=84%,R121*S121*T121*F!$B$84,IF(U121=85%,R121*S121*T121*F!$B$85,IF(U121=86%,R121*S121*T121*F!$B$86,IF(U121=87%,R121*S121*T121*F!$B$87,IF(U121=88%,R121*S121*T121*F!$B$88,IF(U121=89%,R121*S121*T121*F!$B$89,IF(U121=90%,R121*S121*T121*F!$B$90,IF(U121=91%,R121*S121*T121*F!$B$91,IF(U121=92%,R121*S121*T121*F!$B$92,IF(U121=93%,R121*S121*T121*F!$B$93,IF(U121=94%,R121*S121*T121*F!$B$94,IF(U121=95%,R121*S121*T121*F!$B$95,IF(U121=96%,R121*S121*T121*F!$B$96,IF(U121=97%,R121*S121*T121*F!$B$97,IF(U121=98%,R121*S121*T121*F!$B$98,IF(U121=99%,R121*S121*T121*F!$B$99,IF(U121&gt;99%,R121*S121*T121*F!$B$100)))))))))))))))))))))))))))))))))))))))))))))))))))))))))*IF(ISNUMBER(E121),E121,1)*IF(ISNUMBER(D121),D121,1)</f>
        <v>#REF!</v>
      </c>
      <c r="AA121" s="93">
        <f t="shared" ref="AA121:AA126" si="289">G121*H121+K121*L121+O121*P121+S121*T121</f>
        <v>48</v>
      </c>
      <c r="AB121" s="99">
        <f t="shared" ref="AB121:AB126" si="290">(H121*(IF(I121&lt;45%,0.5,IF(I121&lt;55%,0.8,IF(I121&lt;65%,0.9,IF(I121&lt;75%,1,IF(I121&lt;85%,1.1,1.2))))))+L121*(IF(M121&lt;45%,0.5,IF(M121&lt;55%,0.8,IF(M121&lt;65%,0.9,IF(M121&lt;75%,1,IF(M121&lt;85%,1.1,1.2))))))+P121*(IF(Q121&lt;45%,0.5,IF(Q121&lt;55%,0.8,IF(Q121&lt;65%,0.9,IF(Q121&lt;75%,1,IF(Q121&lt;85%,1.1,1.2))))))+T121*(IF(U121&lt;45%,0.5,IF(U121&lt;55%,0.8,IF(U121&lt;65%,0.9,IF(U121&lt;75%,1,IF(U121&lt;85%,1.1,1.2)))))))*IF(D121&gt;=0.8,6,IF(D121&lt;=0.4,1.5,3))</f>
        <v>12</v>
      </c>
      <c r="AC121" s="9"/>
      <c r="AD121" s="9"/>
      <c r="AE121" s="9"/>
      <c r="AF121" s="112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ht="15.0" customHeight="1">
      <c r="A122" s="43">
        <f>A115+2</f>
        <v>42354</v>
      </c>
      <c r="B122" s="101" t="s">
        <v>23</v>
      </c>
      <c r="C122" s="143" t="str">
        <f t="shared" si="278"/>
        <v>Выпады назад</v>
      </c>
      <c r="D122" s="46">
        <f t="shared" si="279"/>
        <v>1</v>
      </c>
      <c r="E122" s="144">
        <f t="shared" si="264"/>
        <v>2</v>
      </c>
      <c r="F122" s="59">
        <f t="shared" si="280"/>
        <v>7.2</v>
      </c>
      <c r="G122" s="60">
        <v>12.0</v>
      </c>
      <c r="H122" s="60">
        <v>1.0</v>
      </c>
      <c r="I122" s="61">
        <v>0.5</v>
      </c>
      <c r="J122" s="59">
        <f t="shared" si="281"/>
        <v>8.9</v>
      </c>
      <c r="K122" s="60">
        <v>10.0</v>
      </c>
      <c r="L122" s="60">
        <v>1.0</v>
      </c>
      <c r="M122" s="61">
        <v>0.62</v>
      </c>
      <c r="N122" s="59">
        <f t="shared" si="282"/>
        <v>10.7</v>
      </c>
      <c r="O122" s="60">
        <v>8.0</v>
      </c>
      <c r="P122" s="60">
        <v>2.0</v>
      </c>
      <c r="Q122" s="61">
        <v>0.74</v>
      </c>
      <c r="R122" s="59" t="str">
        <f t="shared" si="283"/>
        <v/>
      </c>
      <c r="S122" s="60"/>
      <c r="T122" s="60"/>
      <c r="U122" s="61">
        <v>0.0</v>
      </c>
      <c r="V122" s="104">
        <f t="shared" si="284"/>
        <v>693.2</v>
      </c>
      <c r="W122" s="64">
        <f t="shared" si="285"/>
        <v>18.24210526</v>
      </c>
      <c r="X122" s="65">
        <f t="shared" si="286"/>
        <v>0.63</v>
      </c>
      <c r="Y122" s="137">
        <f t="shared" si="287"/>
        <v>14.424214</v>
      </c>
      <c r="Z122" s="64" t="str">
        <f t="shared" si="288"/>
        <v>#REF!</v>
      </c>
      <c r="AA122" s="60">
        <f t="shared" si="289"/>
        <v>38</v>
      </c>
      <c r="AB122" s="66">
        <f t="shared" si="290"/>
        <v>22.2</v>
      </c>
      <c r="AC122" s="9"/>
      <c r="AD122" s="9"/>
      <c r="AE122" s="9"/>
      <c r="AF122" s="112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ht="15.75" customHeight="1">
      <c r="A123" s="57"/>
      <c r="B123" s="101" t="s">
        <v>18</v>
      </c>
      <c r="C123" s="143" t="str">
        <f t="shared" si="278"/>
        <v>Отведение ноги назад</v>
      </c>
      <c r="D123" s="46">
        <f t="shared" si="279"/>
        <v>0.3</v>
      </c>
      <c r="E123" s="144">
        <f t="shared" si="264"/>
        <v>4</v>
      </c>
      <c r="F123" s="105">
        <f t="shared" si="280"/>
        <v>2.6</v>
      </c>
      <c r="G123" s="106">
        <v>12.0</v>
      </c>
      <c r="H123" s="106">
        <v>4.0</v>
      </c>
      <c r="I123" s="107">
        <v>0.5</v>
      </c>
      <c r="J123" s="105" t="str">
        <f t="shared" si="281"/>
        <v/>
      </c>
      <c r="K123" s="106"/>
      <c r="L123" s="106"/>
      <c r="M123" s="107">
        <v>0.0</v>
      </c>
      <c r="N123" s="105" t="str">
        <f t="shared" si="282"/>
        <v/>
      </c>
      <c r="O123" s="106"/>
      <c r="P123" s="106"/>
      <c r="Q123" s="107">
        <v>0.0</v>
      </c>
      <c r="R123" s="105" t="str">
        <f t="shared" si="283"/>
        <v/>
      </c>
      <c r="S123" s="106"/>
      <c r="T123" s="106"/>
      <c r="U123" s="107">
        <v>0.0</v>
      </c>
      <c r="V123" s="108">
        <f t="shared" si="284"/>
        <v>499.2</v>
      </c>
      <c r="W123" s="109">
        <f t="shared" si="285"/>
        <v>10.4</v>
      </c>
      <c r="X123" s="110">
        <f t="shared" si="286"/>
        <v>0.5</v>
      </c>
      <c r="Y123" s="137">
        <f t="shared" si="287"/>
        <v>5.151505</v>
      </c>
      <c r="Z123" s="109" t="str">
        <f t="shared" si="288"/>
        <v>#REF!</v>
      </c>
      <c r="AA123" s="106">
        <f t="shared" si="289"/>
        <v>48</v>
      </c>
      <c r="AB123" s="111">
        <f t="shared" si="290"/>
        <v>4.8</v>
      </c>
      <c r="AC123" s="9"/>
      <c r="AD123" s="9"/>
      <c r="AE123" s="9"/>
      <c r="AF123" s="112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ht="15.75" customHeight="1">
      <c r="A124" s="57"/>
      <c r="B124" s="101" t="s">
        <v>20</v>
      </c>
      <c r="C124" s="143" t="str">
        <f t="shared" si="278"/>
        <v>Тяга верхнего блока</v>
      </c>
      <c r="D124" s="46">
        <f t="shared" si="279"/>
        <v>0.3</v>
      </c>
      <c r="E124" s="144">
        <f t="shared" si="264"/>
        <v>4</v>
      </c>
      <c r="F124" s="59">
        <f t="shared" si="280"/>
        <v>3</v>
      </c>
      <c r="G124" s="60">
        <v>12.0</v>
      </c>
      <c r="H124" s="60">
        <v>3.0</v>
      </c>
      <c r="I124" s="61">
        <v>0.37</v>
      </c>
      <c r="J124" s="59" t="str">
        <f t="shared" si="281"/>
        <v/>
      </c>
      <c r="K124" s="60"/>
      <c r="L124" s="60"/>
      <c r="M124" s="61">
        <v>0.0</v>
      </c>
      <c r="N124" s="59" t="str">
        <f t="shared" si="282"/>
        <v/>
      </c>
      <c r="O124" s="60"/>
      <c r="P124" s="60"/>
      <c r="Q124" s="61">
        <v>0.0</v>
      </c>
      <c r="R124" s="59" t="str">
        <f t="shared" si="283"/>
        <v/>
      </c>
      <c r="S124" s="60"/>
      <c r="T124" s="60"/>
      <c r="U124" s="61">
        <v>0.0</v>
      </c>
      <c r="V124" s="104">
        <f t="shared" si="284"/>
        <v>432</v>
      </c>
      <c r="W124" s="64">
        <f t="shared" si="285"/>
        <v>12</v>
      </c>
      <c r="X124" s="65">
        <f t="shared" si="286"/>
        <v>0.36</v>
      </c>
      <c r="Y124" s="137">
        <f t="shared" si="287"/>
        <v>8.242408</v>
      </c>
      <c r="Z124" s="64" t="str">
        <f t="shared" si="288"/>
        <v>#REF!</v>
      </c>
      <c r="AA124" s="60">
        <f t="shared" si="289"/>
        <v>36</v>
      </c>
      <c r="AB124" s="66">
        <f t="shared" si="290"/>
        <v>2.25</v>
      </c>
      <c r="AC124" s="9"/>
      <c r="AD124" s="9"/>
      <c r="AE124" s="9"/>
      <c r="AF124" s="112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ht="15.75" customHeight="1">
      <c r="A125" s="57"/>
      <c r="B125" s="101" t="s">
        <v>20</v>
      </c>
      <c r="C125" s="143" t="str">
        <f t="shared" si="278"/>
        <v>Тяга горизонтального блока</v>
      </c>
      <c r="D125" s="46">
        <f t="shared" si="279"/>
        <v>0.3</v>
      </c>
      <c r="E125" s="144">
        <f t="shared" si="264"/>
        <v>4</v>
      </c>
      <c r="F125" s="105">
        <f t="shared" si="280"/>
        <v>3.7</v>
      </c>
      <c r="G125" s="106">
        <v>10.0</v>
      </c>
      <c r="H125" s="106">
        <v>3.0</v>
      </c>
      <c r="I125" s="107">
        <v>0.4</v>
      </c>
      <c r="J125" s="105" t="str">
        <f t="shared" si="281"/>
        <v/>
      </c>
      <c r="K125" s="106"/>
      <c r="L125" s="106"/>
      <c r="M125" s="107">
        <v>0.0</v>
      </c>
      <c r="N125" s="105" t="str">
        <f t="shared" si="282"/>
        <v/>
      </c>
      <c r="O125" s="106"/>
      <c r="P125" s="106"/>
      <c r="Q125" s="107">
        <v>0.0</v>
      </c>
      <c r="R125" s="105" t="str">
        <f t="shared" si="283"/>
        <v/>
      </c>
      <c r="S125" s="106"/>
      <c r="T125" s="106"/>
      <c r="U125" s="107">
        <v>0.0</v>
      </c>
      <c r="V125" s="108">
        <f t="shared" si="284"/>
        <v>444</v>
      </c>
      <c r="W125" s="109">
        <f t="shared" si="285"/>
        <v>14.8</v>
      </c>
      <c r="X125" s="117">
        <f t="shared" si="286"/>
        <v>0.4</v>
      </c>
      <c r="Y125" s="137">
        <f t="shared" si="287"/>
        <v>9.272709</v>
      </c>
      <c r="Z125" s="109" t="str">
        <f t="shared" si="288"/>
        <v>#REF!</v>
      </c>
      <c r="AA125" s="106">
        <f t="shared" si="289"/>
        <v>30</v>
      </c>
      <c r="AB125" s="111">
        <f t="shared" si="290"/>
        <v>2.25</v>
      </c>
      <c r="AC125" s="9"/>
      <c r="AD125" s="9"/>
      <c r="AE125" s="9"/>
      <c r="AF125" s="112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ht="15.75" customHeight="1">
      <c r="A126" s="57"/>
      <c r="B126" s="101" t="str">
        <f t="shared" ref="B126:C126" si="291">IF(B89="","",B89)</f>
        <v>Легкая</v>
      </c>
      <c r="C126" s="143" t="str">
        <f t="shared" si="291"/>
        <v>Разведения в тренажёре на заднюю дельту</v>
      </c>
      <c r="D126" s="46">
        <f t="shared" si="279"/>
        <v>0.3</v>
      </c>
      <c r="E126" s="144">
        <f t="shared" si="264"/>
        <v>4</v>
      </c>
      <c r="F126" s="59">
        <f t="shared" si="280"/>
        <v>1.6</v>
      </c>
      <c r="G126" s="60">
        <v>12.0</v>
      </c>
      <c r="H126" s="60">
        <v>3.0</v>
      </c>
      <c r="I126" s="61">
        <v>0.4</v>
      </c>
      <c r="J126" s="59" t="str">
        <f t="shared" si="281"/>
        <v/>
      </c>
      <c r="K126" s="60"/>
      <c r="L126" s="60"/>
      <c r="M126" s="61">
        <v>0.0</v>
      </c>
      <c r="N126" s="59" t="str">
        <f t="shared" si="282"/>
        <v/>
      </c>
      <c r="O126" s="60"/>
      <c r="P126" s="60"/>
      <c r="Q126" s="61">
        <v>0.0</v>
      </c>
      <c r="R126" s="59" t="str">
        <f t="shared" si="283"/>
        <v/>
      </c>
      <c r="S126" s="60"/>
      <c r="T126" s="60"/>
      <c r="U126" s="61">
        <v>0.0</v>
      </c>
      <c r="V126" s="104">
        <f t="shared" si="284"/>
        <v>230.4</v>
      </c>
      <c r="W126" s="64">
        <f t="shared" si="285"/>
        <v>6.4</v>
      </c>
      <c r="X126" s="65">
        <f t="shared" si="286"/>
        <v>0.39</v>
      </c>
      <c r="Y126" s="137">
        <f t="shared" si="287"/>
        <v>4.121204</v>
      </c>
      <c r="Z126" s="64" t="str">
        <f t="shared" si="288"/>
        <v>#REF!</v>
      </c>
      <c r="AA126" s="60">
        <f t="shared" si="289"/>
        <v>36</v>
      </c>
      <c r="AB126" s="66">
        <f t="shared" si="290"/>
        <v>2.25</v>
      </c>
      <c r="AC126" s="9"/>
      <c r="AD126" s="9"/>
      <c r="AE126" s="9"/>
      <c r="AF126" s="112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ht="15.75" customHeight="1">
      <c r="A127" s="72"/>
      <c r="B127" s="119" t="str">
        <f t="shared" ref="B127:C127" si="292">IF(B90="","",B90)</f>
        <v/>
      </c>
      <c r="C127" s="146" t="str">
        <f t="shared" si="292"/>
        <v>Сгибания рук с гантелями</v>
      </c>
      <c r="D127" s="75">
        <f>ROUND(IFERROR((D121*(G121*H121+K121*L121+O121*P121+S121*T121)+D122*(G122*H122+K122*L122+O122*P122+S122*T122)+D123*(G123*H123+K123*L123+O123*P123+S123*T123)+D124*(G124*H124+K124*L124+O124*P124+S124*T124)+D125*(G125*H125+K125*L125+O125*P125+S125*T125)+D126*(G126*H126+K126*L126+O126*P126+S126*T126))/((G121*H121+K121*L121+O121*P121+S121*T121)+(G122*H122+K122*L122+O122*P122+S122*T122)+(G123*H123+K123*L123+O123*P123+S123*T123)+(G124*H124+K124*L124+O124*P124+S124*T124)+(G125*H125+K125*L125+O125*P125+S125*T125)+(G126*H126+K126*L126+O126*P126+S126*T126)),0),2)</f>
        <v>0.56</v>
      </c>
      <c r="E127" s="121" t="str">
        <f t="shared" si="264"/>
        <v/>
      </c>
      <c r="F127" s="122"/>
      <c r="G127" s="123"/>
      <c r="H127" s="123"/>
      <c r="I127" s="124"/>
      <c r="J127" s="122"/>
      <c r="K127" s="123"/>
      <c r="L127" s="123"/>
      <c r="M127" s="124"/>
      <c r="N127" s="122"/>
      <c r="O127" s="123"/>
      <c r="P127" s="123"/>
      <c r="Q127" s="124"/>
      <c r="R127" s="122"/>
      <c r="S127" s="123"/>
      <c r="T127" s="123"/>
      <c r="U127" s="124"/>
      <c r="V127" s="125">
        <f>SUM(V121:V126)</f>
        <v>3378.8</v>
      </c>
      <c r="W127" s="82">
        <f>IFERROR(V127/AA127,0)</f>
        <v>14.31694915</v>
      </c>
      <c r="X127" s="83">
        <f>ROUND(IFERROR(((I121*G121*H121+M121*K121*L121+Q121*O121*P121+U121*S121*T121)+(I122*G122*H122+M122*K122*L122+Q122*O122*P122+U122*S122*T122)+(I123*G123*H123+M123*K123*L123+Q123*O123*P123+U123*S123*T123)+(I124*G124*H124+M124*K124*L124+Q124*O124*P124+U124*S124*T124)+(I125*G125*H125+M125*K125*L125+Q125*O125*P125+U125*S125*T125)+(I126*G126*H126+M126*K126*L126+Q126*O126*P126+U126*S126*T126))/((G121*H121+K121*L121+O121*P121+S121*T121)+(G122*H122+K122*L122+O122*P122+S122*T122)+(G123*H123+K123*L123+O123*P123+S123*T123)+(G124*H124+K124*L124+O124*P124+S124*T124)+(G125*H125+K125*L125+O125*P125+S125*T125)+(G126*H126+K126*L126+O126*P126+S126*T126)),0),3)</f>
        <v>0.455</v>
      </c>
      <c r="Y127" s="84"/>
      <c r="Z127" s="82" t="str">
        <f t="shared" ref="Z127:AA127" si="293">SUM(Z121:Z126)</f>
        <v>#REF!</v>
      </c>
      <c r="AA127" s="85">
        <f t="shared" si="293"/>
        <v>236</v>
      </c>
      <c r="AB127" s="86">
        <f>IF(SUM(AB121:AB126)=0,TIME(,0,),TIME(,SUM(AB121:AB126)+30,))</f>
        <v>0.05208333333</v>
      </c>
      <c r="AC127" s="9"/>
      <c r="AD127" s="9"/>
      <c r="AE127" s="9"/>
      <c r="AF127" s="112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ht="15.75" customHeight="1">
      <c r="A128" s="126" t="s">
        <v>36</v>
      </c>
      <c r="B128" s="127" t="str">
        <f t="shared" ref="B128:C128" si="294">IF(B91="","",B91)</f>
        <v>Средняя</v>
      </c>
      <c r="C128" s="176" t="str">
        <f t="shared" si="294"/>
        <v>Ягодичный мост</v>
      </c>
      <c r="D128" s="29">
        <f t="shared" ref="D128:D133" si="296">D91</f>
        <v>1.3</v>
      </c>
      <c r="E128" s="129" t="str">
        <f t="shared" si="264"/>
        <v/>
      </c>
      <c r="F128" s="31">
        <f t="shared" ref="F128:F133" si="297">IF(I128&lt;&gt;0,(IFERROR(IF($Y128&gt;50,MROUND($Y128*I128,2.5),IF($Y128&lt;15,MROUND($Y128*I128,0.1),MROUND($Y128*I128,1))),)),"")</f>
        <v>60</v>
      </c>
      <c r="G128" s="32">
        <v>10.0</v>
      </c>
      <c r="H128" s="32">
        <v>1.0</v>
      </c>
      <c r="I128" s="33">
        <v>0.58</v>
      </c>
      <c r="J128" s="31">
        <f t="shared" ref="J128:J133" si="298">IF(M128&lt;&gt;0,(IFERROR(IF($Y128&gt;50,MROUND($Y128*M128,2.5),IF($Y128&lt;15,MROUND($Y128*M128,0.1),MROUND($Y128*M128,1))),)),"")</f>
        <v>72.5</v>
      </c>
      <c r="K128" s="32">
        <v>8.0</v>
      </c>
      <c r="L128" s="32">
        <v>3.0</v>
      </c>
      <c r="M128" s="33">
        <v>0.7</v>
      </c>
      <c r="N128" s="31" t="str">
        <f t="shared" ref="N128:N133" si="299">IF(Q128&lt;&gt;0,(IFERROR(IF($Y128&gt;50,MROUND($Y128*Q128,2.5),IF($Y128&lt;15,MROUND($Y128*Q128,0.1),MROUND($Y128*Q128,1))),)),"")</f>
        <v/>
      </c>
      <c r="O128" s="32"/>
      <c r="P128" s="32"/>
      <c r="Q128" s="33">
        <v>0.0</v>
      </c>
      <c r="R128" s="31" t="str">
        <f t="shared" ref="R128:R133" si="300">IF(U128&lt;&gt;0,(IFERROR(IF($Y128&gt;50,MROUND($Y128*U128,2.5),IF($Y128&lt;15,MROUND($Y128*U128,0.1),MROUND($Y128*U128,1))),)),"")</f>
        <v/>
      </c>
      <c r="S128" s="32"/>
      <c r="T128" s="32"/>
      <c r="U128" s="33">
        <v>0.0</v>
      </c>
      <c r="V128" s="130">
        <f t="shared" ref="V128:V133" si="301">(IF(ISNUMBER(F128),F128,1)*G128*H128+IF(ISNUMBER(J128),J128,1)*K128*L128+IF(ISNUMBER(N128),N128,1)*O128*P128+IF(ISNUMBER(R128),R128,1)*S128*T128)*IF(ISNUMBER(E128),E128,1)</f>
        <v>2340</v>
      </c>
      <c r="W128" s="36">
        <f t="shared" ref="W128:W133" si="302">IFERROR((IF(ISNUMBER(F128),F128,1)*G128*H128+IF(ISNUMBER(J128),J128,1)*K128*L128+IF(ISNUMBER(N128),N128,1)*O128*P128+IF(ISNUMBER(R128),R128,1)*S128*T128)*IF(ISNUMBER(E128),E128,1)/(G128*H128+K128*L128+O128*P128+S128*T128),0)</f>
        <v>68.82352941</v>
      </c>
      <c r="X128" s="34">
        <f t="shared" ref="X128:X133" si="303">ROUND(IFERROR((W128/(Y128*IF(ISNUMBER(E128),E128,1))),0),2)</f>
        <v>0.67</v>
      </c>
      <c r="Y128" s="37">
        <f t="shared" ref="Y128:Y133" si="304">IF(ISNUMBER(Y91), Y91+(Y91*$Y$112),"")</f>
        <v>103.0301</v>
      </c>
      <c r="Z128" s="36" t="str">
        <f t="shared" ref="Z128:Z133" si="305">(IF(I128&lt;30%,0,IF(I128&lt;35%,F128*G128*H128*F!$B$33,IF(I128&lt;40%,F128*G128*H128*F!$B$38,IF(I128&lt;45%,F128*G128*H128*F!$B$43,IF(I128&lt;50%,F128*G128*H128*F!$B$48,IF(I128=50%,F128*G128*H128*F!$B$50,IF(I128=51%,F128*G128*H128*F!$B$51,IF(I128=52%,F128*G128*H128*F!$B$52,IF(I128=53%,F128*G128*H128*F!$B$53,IF(I128=54%,F128*G128*H128*F!$B$54,IF(I128=55%,F128*G128*H128*F!$B$55,IF(I128=56%,F128*G128*H128*F!$B$56,IF(I128=57%,F128*G128*H128*F!$B$57,IF(I128=58%,F128*G128*H128*F!$B$58,IF(I128=59%,F128*G128*H128*F!$B$59,IF(I128=60%,F128*G128*H128*F!$B$60,IF(I128=61%,F128*G128*H128*F!$B$61,IF(I128=62%,F128*G128*H128*F!$B$62,IF(I128=63%,F128*G128*H128*F!$B$63,IF(I128=64%,F128*G128*H128*F!$B$64,IF(I128=65%,F128*G128*H128*F!$B$65,IF(I128=66%,F128*G128*H128*F!$B$66,IF(I128=67%,F128*G128*H128*F!$B$67,IF(I128=68%,F128*G128*H128*F!$B$68,IF(I128=69%,F128*G128*H128*F!$B$69,IF(I128=70%,F128*G128*H128*F!$B$70,IF(I128=71%,F128*G128*H128*F!$B$71,IF(I128=72%,F128*G128*H128*F!$B$72,IF(I128=73%,F128*G128*H128*F!$B$73,IF(I128=74%,F128*G128*H128*F!$B$74,IF(I128=75%,F128*G128*H128*F!$B$75,IF(I128=76%,F128*G128*H128*F!$B$76,IF(I128=77%,F128*G128*H128*F!$B$77,IF(I128=78%,F128*G128*H128*F!$B$78,IF(I128=79%,F128*G128*H128*F!$B$79,IF(I128=80%,F128*G128*H128*F!$B$80,IF(I128=81%,F128*G128*H128*F!$B$81,IF(I128=82%,F128*G128*H128*F!$B$82,IF(I128=83%,F128*G128*H128*F!$B$83,IF(I128=84%,F128*G128*H128*F!$B$84,IF(I128=85%,F128*G128*H128*F!$B$85,IF(I128=86%,F128*G128*H128*F!$B$86,IF(I128=87%,F128*G128*H128*F!$B$87,IF(I128=88%,F128*G128*H128*F!$B$88,IF(I128=89%,F128*G128*H128*F!$B$89,IF(I128=90%,F128*G128*H128*F!$B$90,IF(I128=91%,F128*G128*H128*F!$B$91,IF(I128=92%,F128*G128*H128*F!$B$92,IF(I128=93%,F128*G128*H128*F!$B$93,IF(I128=94%,F128*G128*H128*F!$B$94,IF(I128=95%,F128*G128*H128*F!$B$95,IF(I128=96%,F128*G128*H128*F!$B$96,IF(I128=97%,F128*G128*H128*F!$B$97,IF(I128=98%,F128*G128*H128*F!$B$98,IF(I128=99%,F128*G128*H128*F!$B$99,IF(I128&gt;99%,F128*G128*H128*F!$B$100,))))))))))))))))))))))))))))))))))))))))))))))))))))))))+IF(M128&lt;30%,0,IF(M128&lt;35%,J128*K128*L128*F!$B$33,IF(M128&lt;40%,J128*K128*L128*F!$B$38,IF(M128&lt;45%,J128*K128*L128*F!$B$43,IF(M128&lt;50%,J128*K128*L128*F!$B$48,IF(M128=50%,J128*K128*L128*F!$B$50,IF(M128=51%,J128*K128*L128*F!$B$51,IF(M128=52%,J128*K128*L128*F!$B$52,IF(M128=53%,J128*K128*L128*F!$B$53,IF(M128=54%,J128*K128*L128*F!$B$54,IF(M128=55%,J128*K128*L128*F!$B$55,IF(M128=56%,J128*K128*L128*F!$B$56,IF(M128=57%,J128*K128*L128*F!$B$57,IF(M128=58%,J128*K128*L128*F!$B$58,IF(M128=59%,J128*K128*L128*F!$B$59,IF(M128=60%,J128*K128*L128*F!$B$60,IF(M128=61%,J128*K128*L128*F!$B$61,IF(M128=62%,J128*K128*L128*F!$B$62,IF(M128=63%,J128*K128*L128*F!$B$63,IF(M128=64%,J128*K128*L128*F!$B$64,IF(M128=65%,J128*K128*L128*F!$B$65,IF(M128=66%,J128*K128*L128*F!$B$66,IF(M128=67%,J128*K128*L128*F!$B$67,IF(M128=68%,J128*K128*L128*F!$B$68,IF(M128=69%,J128*K128*L128*F!$B$69,IF(M128=70%,J128*K128*L128*F!$B$70,IF(M128=71%,J128*K128*L128*F!$B$71,IF(M128=72%,J128*K128*L128*F!$B$72,IF(M128=73%,J128*K128*L128*F!$B$73,IF(M128=74%,J128*K128*L128*F!$B$74,IF(M128=75%,J128*K128*L128*F!$B$75,IF(M128=76%,J128*K128*L128*F!$B$76,IF(M128=77%,J128*K128*L128*F!$B$77,IF(M128=78%,J128*K128*L128*F!$B$78,IF(M128=79%,J128*K128*L128*F!$B$79,IF(M128=80%,J128*K128*L128*F!$B$80,IF(M128=81%,J128*K128*L128*F!$B$81,IF(M128=82%,J128*K128*L128*F!$B$82,IF(M128=83%,J128*K128*L128*F!$B$83,IF(M128=84%,J128*K128*L128*F!$B$84,IF(M128=85%,J128*K128*L128*F!$B$85,IF(M128=86%,J128*K128*L128*F!$B$86,IF(M128=87%,J128*K128*L128*F!$B$87,IF(M128=88%,J128*K128*L128*F!$B$88,IF(M128=89%,J128*K128*L128*F!$B$89,IF(M128=90%,J128*K128*L128*F!$B$90,IF(M128=91%,J128*K128*L128*F!$B$91,IF(M128=92%,J128*K128*L128*F!$B$92,IF(M128=93%,J128*K128*L128*F!$B$93,IF(M128=94%,J128*K128*L128*F!$B$94,IF(M128=95%,J128*K128*L128*F!$B$95,IF(M128=96%,J128*K128*L128*F!$B$96,IF(M128=97%,J128*K128*L128*F!$B$97,IF(M128=98%,J128*K128*L128*F!$B$98,IF(M128=99%,J128*K128*L128*F!$B$99,IF(M128&gt;99%,J128*K128*L128*F!$B$100,))))))))))))))))))))))))))))))))))))))))))))))))))))))))+IF(Q128&lt;30%,0,IF(Q128&lt;35%,N128*O128*P128*F!$B$33,IF(Q128&lt;40%,N128*O128*P128*F!$B$38,IF(Q128&lt;45%,N128*O128*P128*F!$B$43,IF(Q128&lt;50%,N128*O128*P128*F!$B$48,IF(Q128=50%,N128*O128*P128*F!$B$50,IF(Q128=51%,N128*O128*P128*F!$B$51,IF(Q128=52%,N128*O128*P128*F!$B$52,IF(Q128=53%,N128*O128*P128*F!$B$53,IF(Q128=54%,N128*O128*P128*F!$B$54,IF(Q128=55%,N128*O128*P128*F!$B$55,IF(Q128=56%,N128*O128*P128*F!$B$56,IF(Q128=57%,N128*O128*P128*F!$B$57,IF(Q128=58%,N128*O128*P128*F!$B$58,IF(Q128=59%,N128*O128*P128*F!$B$59,IF(Q128=60%,N128*O128*P128*F!$B$60,IF(Q128=61%,N128*O128*P128*F!$B$61,IF(Q128=62%,N128*O128*P128*F!$B$62,IF(Q128=63%,N128*O128*P128*F!$B$63,IF(Q128=64%,N128*O128*P128*F!$B$64,IF(Q128=65%,N128*O128*P128*F!$B$65,IF(Q128=66%,N128*O128*P128*F!$B$66,IF(Q128=67%,N128*O128*P128*F!$B$67,IF(Q128=68%,N128*O128*P128*F!$B$68,IF(Q128=69%,N128*O128*P128*F!$B$69,IF(Q128=70%,N128*O128*P128*F!$B$70,IF(Q128=71%,N128*O128*P128*F!$B$71,IF(Q128=72%,N128*O128*P128*F!$B$72,IF(Q128=73%,N128*O128*P128*F!$B$73,IF(Q128=74%,N128*O128*P128*F!$B$74,IF(Q128=75%,N128*O128*P128*F!$B$75,IF(Q128=76%,N128*O128*P128*F!$B$76,IF(Q128=77%,N128*O128*P128*F!$B$77,IF(Q128=78%,N128*O128*P128*F!$B$78,IF(Q128=79%,N128*O128*P128*F!$B$79,IF(Q128=80%,N128*O128*P128*F!$B$80,IF(Q128=81%,N128*O128*P128*F!$B$81,IF(Q128=82%,N128*O128*P128*F!$B$82,IF(Q128=83%,N128*O128*P128*F!$B$83,IF(Q128=84%,N128*O128*P128*F!$B$84,IF(Q128=85%,N128*O128*P128*F!$B$85,IF(Q128=86%,N128*O128*P128*F!$B$86,IF(Q128=87%,N128*O128*P128*F!$B$87,IF(Q128=88%,N128*O128*P128*F!$B$88,IF(Q128=89%,N128*O128*P128*F!$B$89,IF(Q128=90%,N128*O128*P128*F!$B$90,IF(Q128=91%,N128*O128*P128*F!$B$91,IF(Q128=92%,N128*O128*P128*F!$B$92,IF(Q128=93%,N128*O128*P128*F!$B$93,IF(Q128=94%,N128*O128*P128*F!$B$94,IF(Q128=95%,N128*O128*P128*F!$B$95,IF(Q128=96%,N128*O128*P128*F!$B$96,IF(Q128=97%,N128*O128*P128*F!$B$97,IF(Q128=98%,N128*O128*P128*F!$B$98,IF(Q128=99%,N128*O128*P128*F!$B$99,IF(Q128&gt;99%,N128*O128*P128*F!$B$100,))))))))))))))))))))))))))))))))))))))))))))))))))))))))+IF(U128&lt;30%,0,IF(U128&lt;35%,R128*S128*T128*F!$B$33,IF(U128&lt;40%,R128*S128*T128*F!$B$38,IF(U128&lt;45%,R128*S128*T128*F!$B$43,IF(U128&lt;50%,R128*S128*T128*F!$B$48,IF(U128=50%,R128*S128*T128*F!$B$50,IF(U128=51%,R128*S128*T128*F!$B$51,IF(U128=52%,R128*S128*T128*F!$B$52,IF(U128=53%,R128*S128*T128*F!$B$53,IF(U128=54%,R128*S128*T128*F!$B$54,IF(U128=55%,R128*S128*T128*F!$B$55,IF(U128=56%,R128*S128*T128*F!$B$56,IF(U128=57%,R128*S128*T128*F!$B$57,IF(U128=58%,R128*S128*T128*F!$B$58,IF(U128=59%,R128*S128*T128*F!$B$59,IF(U128=60%,R128*S128*T128*F!$B$60,IF(U128=61%,R128*S128*T128*F!$B$61,IF(U128=62%,R128*S128*T128*F!$B$62,IF(U128=63%,R128*S128*T128*F!$B$63,IF(U128=64%,R128*S128*T128*F!$B$64,IF(U128=65%,R128*S128*T128*F!$B$65,IF(U128=66%,R128*S128*T128*F!$B$66,IF(U128=67%,R128*S128*T128*F!$B$67,IF(U128=68%,R128*S128*T128*F!$B$68,IF(U128=69%,R128*S128*T128*F!$B$69,IF(U128=70%,R128*S128*T128*F!$B$70,IF(U128=71%,R128*S128*T128*F!$B$71,IF(U128=72%,R128*S128*T128*F!$B$72,IF(U128=73%,R128*S128*T128*F!$B$73,IF(U128=74%,R128*S128*T128*F!$B$74,IF(U128=75%,R128*S128*T128*F!$B$75,IF(U128=76%,R128*S128*T128*F!$B$76,IF(U128=77%,R128*S128*T128*F!$B$77,IF(U128=78%,R128*S128*T128*F!$B$78,IF(U128=79%,R128*S128*T128*F!$B$79,IF(U128=80%,R128*S128*T128*F!$B$80,IF(U128=81%,R128*S128*T128*F!$B$81,IF(U128=82%,R128*S128*T128*F!$B$82,IF(U128=83%,R128*S128*T128*F!$B$83,IF(U128=84%,R128*S128*T128*F!$B$84,IF(U128=85%,R128*S128*T128*F!$B$85,IF(U128=86%,R128*S128*T128*F!$B$86,IF(U128=87%,R128*S128*T128*F!$B$87,IF(U128=88%,R128*S128*T128*F!$B$88,IF(U128=89%,R128*S128*T128*F!$B$89,IF(U128=90%,R128*S128*T128*F!$B$90,IF(U128=91%,R128*S128*T128*F!$B$91,IF(U128=92%,R128*S128*T128*F!$B$92,IF(U128=93%,R128*S128*T128*F!$B$93,IF(U128=94%,R128*S128*T128*F!$B$94,IF(U128=95%,R128*S128*T128*F!$B$95,IF(U128=96%,R128*S128*T128*F!$B$96,IF(U128=97%,R128*S128*T128*F!$B$97,IF(U128=98%,R128*S128*T128*F!$B$98,IF(U128=99%,R128*S128*T128*F!$B$99,IF(U128&gt;99%,R128*S128*T128*F!$B$100)))))))))))))))))))))))))))))))))))))))))))))))))))))))))*IF(ISNUMBER(E128),E128,1)*IF(ISNUMBER(D128),D128,1)</f>
        <v>#REF!</v>
      </c>
      <c r="AA128" s="32">
        <f t="shared" ref="AA128:AA133" si="306">G128*H128+K128*L128+O128*P128+S128*T128</f>
        <v>34</v>
      </c>
      <c r="AB128" s="38">
        <f t="shared" ref="AB128:AB133" si="307">(H128*(IF(I128&lt;45%,0.5,IF(I128&lt;55%,0.8,IF(I128&lt;65%,0.9,IF(I128&lt;75%,1,IF(I128&lt;85%,1.1,1.2))))))+L128*(IF(M128&lt;45%,0.5,IF(M128&lt;55%,0.8,IF(M128&lt;65%,0.9,IF(M128&lt;75%,1,IF(M128&lt;85%,1.1,1.2))))))+P128*(IF(Q128&lt;45%,0.5,IF(Q128&lt;55%,0.8,IF(Q128&lt;65%,0.9,IF(Q128&lt;75%,1,IF(Q128&lt;85%,1.1,1.2))))))+T128*(IF(U128&lt;45%,0.5,IF(U128&lt;55%,0.8,IF(U128&lt;65%,0.9,IF(U128&lt;75%,1,IF(U128&lt;85%,1.1,1.2)))))))*IF(D128&gt;=0.8,6,IF(D128&lt;=0.4,1.5,3))</f>
        <v>23.4</v>
      </c>
      <c r="AC128" s="9"/>
      <c r="AD128" s="9"/>
      <c r="AE128" s="9"/>
      <c r="AF128" s="112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ht="15.0" customHeight="1">
      <c r="A129" s="43">
        <f>A122+2</f>
        <v>42356</v>
      </c>
      <c r="B129" s="131" t="str">
        <f t="shared" ref="B129:C129" si="295">IF(B92="","",B92)</f>
        <v>Легкая</v>
      </c>
      <c r="C129" s="177" t="str">
        <f t="shared" si="295"/>
        <v>Зашагивания на платформу</v>
      </c>
      <c r="D129" s="46">
        <f t="shared" si="296"/>
        <v>1</v>
      </c>
      <c r="E129" s="133" t="str">
        <f t="shared" si="264"/>
        <v/>
      </c>
      <c r="F129" s="48">
        <f t="shared" si="297"/>
        <v>0</v>
      </c>
      <c r="G129" s="49">
        <v>8.0</v>
      </c>
      <c r="H129" s="49">
        <v>4.0</v>
      </c>
      <c r="I129" s="50">
        <v>0.45</v>
      </c>
      <c r="J129" s="48" t="str">
        <f t="shared" si="298"/>
        <v/>
      </c>
      <c r="K129" s="49"/>
      <c r="L129" s="49"/>
      <c r="M129" s="50">
        <v>0.0</v>
      </c>
      <c r="N129" s="48" t="str">
        <f t="shared" si="299"/>
        <v/>
      </c>
      <c r="O129" s="49"/>
      <c r="P129" s="49"/>
      <c r="Q129" s="50">
        <v>0.0</v>
      </c>
      <c r="R129" s="48" t="str">
        <f t="shared" si="300"/>
        <v/>
      </c>
      <c r="S129" s="49"/>
      <c r="T129" s="49"/>
      <c r="U129" s="50">
        <v>0.0</v>
      </c>
      <c r="V129" s="134">
        <f t="shared" si="301"/>
        <v>0</v>
      </c>
      <c r="W129" s="53">
        <f t="shared" si="302"/>
        <v>0</v>
      </c>
      <c r="X129" s="54">
        <f t="shared" si="303"/>
        <v>0</v>
      </c>
      <c r="Y129" s="137">
        <f t="shared" si="304"/>
        <v>0</v>
      </c>
      <c r="Z129" s="53" t="str">
        <f t="shared" si="305"/>
        <v>#REF!</v>
      </c>
      <c r="AA129" s="49">
        <f t="shared" si="306"/>
        <v>32</v>
      </c>
      <c r="AB129" s="56">
        <f t="shared" si="307"/>
        <v>19.2</v>
      </c>
      <c r="AC129" s="9"/>
      <c r="AD129" s="9"/>
      <c r="AE129" s="9"/>
      <c r="AF129" s="112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ht="15.75" customHeight="1">
      <c r="A130" s="57"/>
      <c r="B130" s="135" t="s">
        <v>20</v>
      </c>
      <c r="C130" s="177" t="str">
        <f t="shared" ref="C130:C132" si="308">IF(C93="","",C93)</f>
        <v>Разведение ног</v>
      </c>
      <c r="D130" s="46">
        <f t="shared" si="296"/>
        <v>0.5</v>
      </c>
      <c r="E130" s="133">
        <f t="shared" si="264"/>
        <v>5</v>
      </c>
      <c r="F130" s="59">
        <f t="shared" si="297"/>
        <v>4.1</v>
      </c>
      <c r="G130" s="60">
        <v>12.0</v>
      </c>
      <c r="H130" s="60">
        <v>4.0</v>
      </c>
      <c r="I130" s="61">
        <v>0.4</v>
      </c>
      <c r="J130" s="59" t="str">
        <f t="shared" si="298"/>
        <v/>
      </c>
      <c r="K130" s="60"/>
      <c r="L130" s="60"/>
      <c r="M130" s="61">
        <v>0.0</v>
      </c>
      <c r="N130" s="59" t="str">
        <f t="shared" si="299"/>
        <v/>
      </c>
      <c r="O130" s="60"/>
      <c r="P130" s="60"/>
      <c r="Q130" s="61">
        <v>0.0</v>
      </c>
      <c r="R130" s="59" t="str">
        <f t="shared" si="300"/>
        <v/>
      </c>
      <c r="S130" s="60"/>
      <c r="T130" s="60"/>
      <c r="U130" s="61">
        <v>0.0</v>
      </c>
      <c r="V130" s="104">
        <f t="shared" si="301"/>
        <v>984</v>
      </c>
      <c r="W130" s="64">
        <f t="shared" si="302"/>
        <v>20.5</v>
      </c>
      <c r="X130" s="65">
        <f t="shared" si="303"/>
        <v>0.4</v>
      </c>
      <c r="Y130" s="137">
        <f t="shared" si="304"/>
        <v>10.30301</v>
      </c>
      <c r="Z130" s="64" t="str">
        <f t="shared" si="305"/>
        <v>#REF!</v>
      </c>
      <c r="AA130" s="60">
        <f t="shared" si="306"/>
        <v>48</v>
      </c>
      <c r="AB130" s="66">
        <f t="shared" si="307"/>
        <v>6</v>
      </c>
      <c r="AC130" s="9"/>
      <c r="AD130" s="9"/>
      <c r="AE130" s="9"/>
      <c r="AF130" s="112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ht="15.75" customHeight="1">
      <c r="A131" s="57"/>
      <c r="B131" s="135" t="s">
        <v>23</v>
      </c>
      <c r="C131" s="177" t="str">
        <f t="shared" si="308"/>
        <v>Жим гантелй лежа</v>
      </c>
      <c r="D131" s="46">
        <f t="shared" si="296"/>
        <v>0.4</v>
      </c>
      <c r="E131" s="133">
        <f t="shared" si="264"/>
        <v>2</v>
      </c>
      <c r="F131" s="48">
        <f t="shared" si="297"/>
        <v>6.2</v>
      </c>
      <c r="G131" s="49">
        <v>12.0</v>
      </c>
      <c r="H131" s="49">
        <v>1.0</v>
      </c>
      <c r="I131" s="50">
        <v>0.5</v>
      </c>
      <c r="J131" s="48">
        <f t="shared" si="298"/>
        <v>7.4</v>
      </c>
      <c r="K131" s="49">
        <v>10.0</v>
      </c>
      <c r="L131" s="49">
        <v>1.0</v>
      </c>
      <c r="M131" s="50">
        <v>0.6</v>
      </c>
      <c r="N131" s="48">
        <f t="shared" si="299"/>
        <v>8.9</v>
      </c>
      <c r="O131" s="49">
        <v>8.0</v>
      </c>
      <c r="P131" s="49">
        <v>2.0</v>
      </c>
      <c r="Q131" s="50">
        <v>0.72</v>
      </c>
      <c r="R131" s="48" t="str">
        <f t="shared" si="300"/>
        <v/>
      </c>
      <c r="S131" s="49"/>
      <c r="T131" s="49"/>
      <c r="U131" s="50">
        <v>0.0</v>
      </c>
      <c r="V131" s="134">
        <f t="shared" si="301"/>
        <v>581.6</v>
      </c>
      <c r="W131" s="53">
        <f t="shared" si="302"/>
        <v>15.30526316</v>
      </c>
      <c r="X131" s="54">
        <f t="shared" si="303"/>
        <v>0.62</v>
      </c>
      <c r="Y131" s="137">
        <f t="shared" si="304"/>
        <v>12.363612</v>
      </c>
      <c r="Z131" s="53" t="str">
        <f t="shared" si="305"/>
        <v>#REF!</v>
      </c>
      <c r="AA131" s="49">
        <f t="shared" si="306"/>
        <v>38</v>
      </c>
      <c r="AB131" s="56">
        <f t="shared" si="307"/>
        <v>5.55</v>
      </c>
      <c r="AC131" s="9"/>
      <c r="AD131" s="9"/>
      <c r="AE131" s="9"/>
      <c r="AF131" s="112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ht="15.75" customHeight="1">
      <c r="A132" s="57"/>
      <c r="B132" s="135" t="s">
        <v>20</v>
      </c>
      <c r="C132" s="177" t="str">
        <f t="shared" si="308"/>
        <v>Ходьба выпадами</v>
      </c>
      <c r="D132" s="46">
        <f t="shared" si="296"/>
        <v>0.4</v>
      </c>
      <c r="E132" s="133">
        <f t="shared" si="264"/>
        <v>2</v>
      </c>
      <c r="F132" s="59">
        <f t="shared" si="297"/>
        <v>6</v>
      </c>
      <c r="G132" s="60">
        <v>12.0</v>
      </c>
      <c r="H132" s="60">
        <v>4.0</v>
      </c>
      <c r="I132" s="61">
        <v>0.4</v>
      </c>
      <c r="J132" s="59" t="str">
        <f t="shared" si="298"/>
        <v/>
      </c>
      <c r="K132" s="60"/>
      <c r="L132" s="60"/>
      <c r="M132" s="61">
        <v>0.0</v>
      </c>
      <c r="N132" s="59" t="str">
        <f t="shared" si="299"/>
        <v/>
      </c>
      <c r="O132" s="60"/>
      <c r="P132" s="60"/>
      <c r="Q132" s="61">
        <v>0.0</v>
      </c>
      <c r="R132" s="59" t="str">
        <f t="shared" si="300"/>
        <v/>
      </c>
      <c r="S132" s="60"/>
      <c r="T132" s="60"/>
      <c r="U132" s="61">
        <v>0.0</v>
      </c>
      <c r="V132" s="104">
        <f t="shared" si="301"/>
        <v>576</v>
      </c>
      <c r="W132" s="64">
        <f t="shared" si="302"/>
        <v>12</v>
      </c>
      <c r="X132" s="62">
        <f t="shared" si="303"/>
        <v>0.39</v>
      </c>
      <c r="Y132" s="137">
        <f t="shared" si="304"/>
        <v>15.454515</v>
      </c>
      <c r="Z132" s="64" t="str">
        <f t="shared" si="305"/>
        <v>#REF!</v>
      </c>
      <c r="AA132" s="60">
        <f t="shared" si="306"/>
        <v>48</v>
      </c>
      <c r="AB132" s="66">
        <f t="shared" si="307"/>
        <v>3</v>
      </c>
      <c r="AC132" s="9"/>
      <c r="AD132" s="9"/>
      <c r="AE132" s="9"/>
      <c r="AF132" s="112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ht="15.75" customHeight="1">
      <c r="A133" s="57"/>
      <c r="B133" s="135" t="str">
        <f t="shared" ref="B133:C133" si="309">IF(B96="","",B96)</f>
        <v>Средняя</v>
      </c>
      <c r="C133" s="177" t="str">
        <f t="shared" si="309"/>
        <v>Гиперэкстензия на ягодицы</v>
      </c>
      <c r="D133" s="46">
        <f t="shared" si="296"/>
        <v>0.4</v>
      </c>
      <c r="E133" s="133" t="str">
        <f t="shared" si="264"/>
        <v/>
      </c>
      <c r="F133" s="48">
        <f t="shared" si="297"/>
        <v>15</v>
      </c>
      <c r="G133" s="49">
        <v>12.0</v>
      </c>
      <c r="H133" s="49">
        <v>1.0</v>
      </c>
      <c r="I133" s="50">
        <v>0.5</v>
      </c>
      <c r="J133" s="48">
        <f t="shared" si="298"/>
        <v>18</v>
      </c>
      <c r="K133" s="49">
        <v>10.0</v>
      </c>
      <c r="L133" s="49">
        <v>2.0</v>
      </c>
      <c r="M133" s="50">
        <v>0.57</v>
      </c>
      <c r="N133" s="48" t="str">
        <f t="shared" si="299"/>
        <v/>
      </c>
      <c r="O133" s="49"/>
      <c r="P133" s="49"/>
      <c r="Q133" s="50">
        <v>0.0</v>
      </c>
      <c r="R133" s="48" t="str">
        <f t="shared" si="300"/>
        <v/>
      </c>
      <c r="S133" s="49"/>
      <c r="T133" s="49"/>
      <c r="U133" s="50">
        <v>0.0</v>
      </c>
      <c r="V133" s="134">
        <f t="shared" si="301"/>
        <v>540</v>
      </c>
      <c r="W133" s="53">
        <f t="shared" si="302"/>
        <v>16.875</v>
      </c>
      <c r="X133" s="54">
        <f t="shared" si="303"/>
        <v>0.55</v>
      </c>
      <c r="Y133" s="137">
        <f t="shared" si="304"/>
        <v>30.90903</v>
      </c>
      <c r="Z133" s="53" t="str">
        <f t="shared" si="305"/>
        <v>#REF!</v>
      </c>
      <c r="AA133" s="49">
        <f t="shared" si="306"/>
        <v>32</v>
      </c>
      <c r="AB133" s="56">
        <f t="shared" si="307"/>
        <v>3.9</v>
      </c>
      <c r="AC133" s="9"/>
      <c r="AD133" s="9"/>
      <c r="AE133" s="9"/>
      <c r="AF133" s="112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ht="15.75" customHeight="1">
      <c r="A134" s="72"/>
      <c r="B134" s="138" t="str">
        <f t="shared" ref="B134:C134" si="310">IF(B97="","",B97)</f>
        <v/>
      </c>
      <c r="C134" s="178" t="str">
        <f t="shared" si="310"/>
        <v>Скручивания (пресс)</v>
      </c>
      <c r="D134" s="75">
        <f>ROUND(IFERROR((D128*(G128*H128+K128*L128+O128*P128+S128*T128)+D129*(G129*H129+K129*L129+O129*P129+S129*T129)+D130*(G130*H130+K130*L130+O130*P130+S130*T130)+D131*(G131*H131+K131*L131+O131*P131+S131*T131)+D132*(G132*H132+K132*L132+O132*P132+S132*T132)+D133*(G133*H133+K133*L133+O133*P133+S133*T133))/((G128*H128+K128*L128+O128*P128+S128*T128)+(G129*H129+K129*L129+O129*P129+S129*T129)+(G130*H130+K130*L130+O130*P130+S130*T130)+(G131*H131+K131*L131+O131*P131+S131*T131)+(G132*H132+K132*L132+O132*P132+S132*T132)+(G133*H133+K133*L133+O133*P133+S133*T133)),0),2)</f>
        <v>0.64</v>
      </c>
      <c r="E134" s="140" t="str">
        <f t="shared" si="264"/>
        <v/>
      </c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125">
        <f>SUM(V128:V133)</f>
        <v>5021.6</v>
      </c>
      <c r="W134" s="82">
        <f>IFERROR(V134/AA134,0)</f>
        <v>21.64482759</v>
      </c>
      <c r="X134" s="83">
        <f>ROUND(IFERROR(((I128*G128*H128+M128*K128*L128+Q128*O128*P128+U128*S128*T128)+(I129*G129*H129+M129*K129*L129+Q129*O129*P129+U129*S129*T129)+(I130*G130*H130+M130*K130*L130+Q130*O130*P130+U130*S130*T130)+(I131*G131*H131+M131*K131*L131+Q131*O131*P131+U131*S131*T131)+(I132*G132*H132+M132*K132*L132+Q132*O132*P132+U132*S132*T132)+(I133*G133*H133+M133*K133*L133+Q133*O133*P133+U133*S133*T133))/((G128*H128+K128*L128+O128*P128+S128*T128)+(G129*H129+K129*L129+O129*P129+S129*T129)+(G130*H130+K130*L130+O130*P130+S130*T130)+(G131*H131+K131*L131+O131*P131+S131*T131)+(G132*H132+K132*L132+O132*P132+S132*T132)+(G133*H133+K133*L133+O133*P133+S133*T133)),0),3)</f>
        <v>0.501</v>
      </c>
      <c r="Y134" s="84"/>
      <c r="Z134" s="82" t="str">
        <f t="shared" ref="Z134:AA134" si="311">SUM(Z128:Z133)</f>
        <v>#REF!</v>
      </c>
      <c r="AA134" s="85">
        <f t="shared" si="311"/>
        <v>232</v>
      </c>
      <c r="AB134" s="86">
        <f>IF(SUM(AB128:AB133)=0,TIME(,0,),TIME(,SUM(AB128:AB133)+30,))</f>
        <v>0.06319444444</v>
      </c>
      <c r="AC134" s="9"/>
      <c r="AD134" s="9"/>
      <c r="AE134" s="9"/>
      <c r="AF134" s="112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ht="14.25" hidden="1" customHeight="1">
      <c r="A135" s="88" t="s">
        <v>44</v>
      </c>
      <c r="B135" s="89" t="str">
        <f t="shared" ref="B135:C135" si="312">IF(B98="","",B98)</f>
        <v/>
      </c>
      <c r="C135" s="141" t="str">
        <f t="shared" si="312"/>
        <v/>
      </c>
      <c r="D135" s="29" t="str">
        <f t="shared" ref="D135:D140" si="314">D98</f>
        <v/>
      </c>
      <c r="E135" s="91" t="str">
        <f t="shared" si="264"/>
        <v/>
      </c>
      <c r="F135" s="92"/>
      <c r="G135" s="93"/>
      <c r="H135" s="93"/>
      <c r="I135" s="94" t="str">
        <f t="shared" ref="I135:I140" si="315">IFERROR(ROUND(F135/$Y135,2),)</f>
        <v/>
      </c>
      <c r="J135" s="92"/>
      <c r="K135" s="93"/>
      <c r="L135" s="93"/>
      <c r="M135" s="94" t="str">
        <f t="shared" ref="M135:M140" si="316">IFERROR(ROUND(J135/$Y135,2),)</f>
        <v/>
      </c>
      <c r="N135" s="92"/>
      <c r="O135" s="93"/>
      <c r="P135" s="93"/>
      <c r="Q135" s="94" t="str">
        <f t="shared" ref="Q135:Q140" si="317">IFERROR(ROUND(N135/$Y135,2),)</f>
        <v/>
      </c>
      <c r="R135" s="92"/>
      <c r="S135" s="93"/>
      <c r="T135" s="93"/>
      <c r="U135" s="94" t="str">
        <f t="shared" ref="U135:U140" si="318">IFERROR(ROUND(R135/$Y135,2),)</f>
        <v/>
      </c>
      <c r="V135" s="95">
        <f t="shared" ref="V135:V140" si="319">(IF(ISNUMBER(F135),F135,1)*G135*H135+IF(ISNUMBER(J135),J135,1)*K135*L135+IF(ISNUMBER(N135),N135,1)*O135*P135+IF(ISNUMBER(R135),R135,1)*S135*T135)*IF(ISNUMBER(E135),E135,1)</f>
        <v>0</v>
      </c>
      <c r="W135" s="96">
        <f t="shared" ref="W135:W140" si="320">IFERROR((IF(ISNUMBER(F135),F135,1)*G135*H135+IF(ISNUMBER(J135),J135,1)*K135*L135+IF(ISNUMBER(N135),N135,1)*O135*P135+IF(ISNUMBER(R135),R135,1)*S135*T135)*IF(ISNUMBER(E135),E135,1)/(G135*H135+K135*L135+O135*P135+S135*T135),0)</f>
        <v>0</v>
      </c>
      <c r="X135" s="97">
        <f t="shared" ref="X135:X140" si="321">ROUND(IFERROR((W135/(Y135*IF(ISNUMBER(E135),E135,1))),0),2)</f>
        <v>0</v>
      </c>
      <c r="Y135" s="37" t="str">
        <f t="shared" ref="Y135:Y140" si="322">IF(ISNUMBER(Y98), Y98+(Y98*$Y$112),"")</f>
        <v/>
      </c>
      <c r="Z135" s="96">
        <f t="shared" ref="Z135:Z140" si="323">(IF(I135&lt;30%,0,IF(I135&lt;35%,F135*G135*H135*F!$B$33,IF(I135&lt;40%,F135*G135*H135*F!$B$38,IF(I135&lt;45%,F135*G135*H135*F!$B$43,IF(I135&lt;50%,F135*G135*H135*F!$B$48,IF(I135=50%,F135*G135*H135*F!$B$50,IF(I135=51%,F135*G135*H135*F!$B$51,IF(I135=52%,F135*G135*H135*F!$B$52,IF(I135=53%,F135*G135*H135*F!$B$53,IF(I135=54%,F135*G135*H135*F!$B$54,IF(I135=55%,F135*G135*H135*F!$B$55,IF(I135=56%,F135*G135*H135*F!$B$56,IF(I135=57%,F135*G135*H135*F!$B$57,IF(I135=58%,F135*G135*H135*F!$B$58,IF(I135=59%,F135*G135*H135*F!$B$59,IF(I135=60%,F135*G135*H135*F!$B$60,IF(I135=61%,F135*G135*H135*F!$B$61,IF(I135=62%,F135*G135*H135*F!$B$62,IF(I135=63%,F135*G135*H135*F!$B$63,IF(I135=64%,F135*G135*H135*F!$B$64,IF(I135=65%,F135*G135*H135*F!$B$65,IF(I135=66%,F135*G135*H135*F!$B$66,IF(I135=67%,F135*G135*H135*F!$B$67,IF(I135=68%,F135*G135*H135*F!$B$68,IF(I135=69%,F135*G135*H135*F!$B$69,IF(I135=70%,F135*G135*H135*F!$B$70,IF(I135=71%,F135*G135*H135*F!$B$71,IF(I135=72%,F135*G135*H135*F!$B$72,IF(I135=73%,F135*G135*H135*F!$B$73,IF(I135=74%,F135*G135*H135*F!$B$74,IF(I135=75%,F135*G135*H135*F!$B$75,IF(I135=76%,F135*G135*H135*F!$B$76,IF(I135=77%,F135*G135*H135*F!$B$77,IF(I135=78%,F135*G135*H135*F!$B$78,IF(I135=79%,F135*G135*H135*F!$B$79,IF(I135=80%,F135*G135*H135*F!$B$80,IF(I135=81%,F135*G135*H135*F!$B$81,IF(I135=82%,F135*G135*H135*F!$B$82,IF(I135=83%,F135*G135*H135*F!$B$83,IF(I135=84%,F135*G135*H135*F!$B$84,IF(I135=85%,F135*G135*H135*F!$B$85,IF(I135=86%,F135*G135*H135*F!$B$86,IF(I135=87%,F135*G135*H135*F!$B$87,IF(I135=88%,F135*G135*H135*F!$B$88,IF(I135=89%,F135*G135*H135*F!$B$89,IF(I135=90%,F135*G135*H135*F!$B$90,IF(I135=91%,F135*G135*H135*F!$B$91,IF(I135=92%,F135*G135*H135*F!$B$92,IF(I135=93%,F135*G135*H135*F!$B$93,IF(I135=94%,F135*G135*H135*F!$B$94,IF(I135=95%,F135*G135*H135*F!$B$95,IF(I135=96%,F135*G135*H135*F!$B$96,IF(I135=97%,F135*G135*H135*F!$B$97,IF(I135=98%,F135*G135*H135*F!$B$98,IF(I135=99%,F135*G135*H135*F!$B$99,IF(I135&gt;99%,F135*G135*H135*F!$B$100,))))))))))))))))))))))))))))))))))))))))))))))))))))))))+IF(M135&lt;30%,0,IF(M135&lt;35%,J135*K135*L135*F!$B$33,IF(M135&lt;40%,J135*K135*L135*F!$B$38,IF(M135&lt;45%,J135*K135*L135*F!$B$43,IF(M135&lt;50%,J135*K135*L135*F!$B$48,IF(M135=50%,J135*K135*L135*F!$B$50,IF(M135=51%,J135*K135*L135*F!$B$51,IF(M135=52%,J135*K135*L135*F!$B$52,IF(M135=53%,J135*K135*L135*F!$B$53,IF(M135=54%,J135*K135*L135*F!$B$54,IF(M135=55%,J135*K135*L135*F!$B$55,IF(M135=56%,J135*K135*L135*F!$B$56,IF(M135=57%,J135*K135*L135*F!$B$57,IF(M135=58%,J135*K135*L135*F!$B$58,IF(M135=59%,J135*K135*L135*F!$B$59,IF(M135=60%,J135*K135*L135*F!$B$60,IF(M135=61%,J135*K135*L135*F!$B$61,IF(M135=62%,J135*K135*L135*F!$B$62,IF(M135=63%,J135*K135*L135*F!$B$63,IF(M135=64%,J135*K135*L135*F!$B$64,IF(M135=65%,J135*K135*L135*F!$B$65,IF(M135=66%,J135*K135*L135*F!$B$66,IF(M135=67%,J135*K135*L135*F!$B$67,IF(M135=68%,J135*K135*L135*F!$B$68,IF(M135=69%,J135*K135*L135*F!$B$69,IF(M135=70%,J135*K135*L135*F!$B$70,IF(M135=71%,J135*K135*L135*F!$B$71,IF(M135=72%,J135*K135*L135*F!$B$72,IF(M135=73%,J135*K135*L135*F!$B$73,IF(M135=74%,J135*K135*L135*F!$B$74,IF(M135=75%,J135*K135*L135*F!$B$75,IF(M135=76%,J135*K135*L135*F!$B$76,IF(M135=77%,J135*K135*L135*F!$B$77,IF(M135=78%,J135*K135*L135*F!$B$78,IF(M135=79%,J135*K135*L135*F!$B$79,IF(M135=80%,J135*K135*L135*F!$B$80,IF(M135=81%,J135*K135*L135*F!$B$81,IF(M135=82%,J135*K135*L135*F!$B$82,IF(M135=83%,J135*K135*L135*F!$B$83,IF(M135=84%,J135*K135*L135*F!$B$84,IF(M135=85%,J135*K135*L135*F!$B$85,IF(M135=86%,J135*K135*L135*F!$B$86,IF(M135=87%,J135*K135*L135*F!$B$87,IF(M135=88%,J135*K135*L135*F!$B$88,IF(M135=89%,J135*K135*L135*F!$B$89,IF(M135=90%,J135*K135*L135*F!$B$90,IF(M135=91%,J135*K135*L135*F!$B$91,IF(M135=92%,J135*K135*L135*F!$B$92,IF(M135=93%,J135*K135*L135*F!$B$93,IF(M135=94%,J135*K135*L135*F!$B$94,IF(M135=95%,J135*K135*L135*F!$B$95,IF(M135=96%,J135*K135*L135*F!$B$96,IF(M135=97%,J135*K135*L135*F!$B$97,IF(M135=98%,J135*K135*L135*F!$B$98,IF(M135=99%,J135*K135*L135*F!$B$99,IF(M135&gt;99%,J135*K135*L135*F!$B$100,))))))))))))))))))))))))))))))))))))))))))))))))))))))))+IF(Q135&lt;30%,0,IF(Q135&lt;35%,N135*O135*P135*F!$B$33,IF(Q135&lt;40%,N135*O135*P135*F!$B$38,IF(Q135&lt;45%,N135*O135*P135*F!$B$43,IF(Q135&lt;50%,N135*O135*P135*F!$B$48,IF(Q135=50%,N135*O135*P135*F!$B$50,IF(Q135=51%,N135*O135*P135*F!$B$51,IF(Q135=52%,N135*O135*P135*F!$B$52,IF(Q135=53%,N135*O135*P135*F!$B$53,IF(Q135=54%,N135*O135*P135*F!$B$54,IF(Q135=55%,N135*O135*P135*F!$B$55,IF(Q135=56%,N135*O135*P135*F!$B$56,IF(Q135=57%,N135*O135*P135*F!$B$57,IF(Q135=58%,N135*O135*P135*F!$B$58,IF(Q135=59%,N135*O135*P135*F!$B$59,IF(Q135=60%,N135*O135*P135*F!$B$60,IF(Q135=61%,N135*O135*P135*F!$B$61,IF(Q135=62%,N135*O135*P135*F!$B$62,IF(Q135=63%,N135*O135*P135*F!$B$63,IF(Q135=64%,N135*O135*P135*F!$B$64,IF(Q135=65%,N135*O135*P135*F!$B$65,IF(Q135=66%,N135*O135*P135*F!$B$66,IF(Q135=67%,N135*O135*P135*F!$B$67,IF(Q135=68%,N135*O135*P135*F!$B$68,IF(Q135=69%,N135*O135*P135*F!$B$69,IF(Q135=70%,N135*O135*P135*F!$B$70,IF(Q135=71%,N135*O135*P135*F!$B$71,IF(Q135=72%,N135*O135*P135*F!$B$72,IF(Q135=73%,N135*O135*P135*F!$B$73,IF(Q135=74%,N135*O135*P135*F!$B$74,IF(Q135=75%,N135*O135*P135*F!$B$75,IF(Q135=76%,N135*O135*P135*F!$B$76,IF(Q135=77%,N135*O135*P135*F!$B$77,IF(Q135=78%,N135*O135*P135*F!$B$78,IF(Q135=79%,N135*O135*P135*F!$B$79,IF(Q135=80%,N135*O135*P135*F!$B$80,IF(Q135=81%,N135*O135*P135*F!$B$81,IF(Q135=82%,N135*O135*P135*F!$B$82,IF(Q135=83%,N135*O135*P135*F!$B$83,IF(Q135=84%,N135*O135*P135*F!$B$84,IF(Q135=85%,N135*O135*P135*F!$B$85,IF(Q135=86%,N135*O135*P135*F!$B$86,IF(Q135=87%,N135*O135*P135*F!$B$87,IF(Q135=88%,N135*O135*P135*F!$B$88,IF(Q135=89%,N135*O135*P135*F!$B$89,IF(Q135=90%,N135*O135*P135*F!$B$90,IF(Q135=91%,N135*O135*P135*F!$B$91,IF(Q135=92%,N135*O135*P135*F!$B$92,IF(Q135=93%,N135*O135*P135*F!$B$93,IF(Q135=94%,N135*O135*P135*F!$B$94,IF(Q135=95%,N135*O135*P135*F!$B$95,IF(Q135=96%,N135*O135*P135*F!$B$96,IF(Q135=97%,N135*O135*P135*F!$B$97,IF(Q135=98%,N135*O135*P135*F!$B$98,IF(Q135=99%,N135*O135*P135*F!$B$99,IF(Q135&gt;99%,N135*O135*P135*F!$B$100,))))))))))))))))))))))))))))))))))))))))))))))))))))))))+IF(U135&lt;30%,0,IF(U135&lt;35%,R135*S135*T135*F!$B$33,IF(U135&lt;40%,R135*S135*T135*F!$B$38,IF(U135&lt;45%,R135*S135*T135*F!$B$43,IF(U135&lt;50%,R135*S135*T135*F!$B$48,IF(U135=50%,R135*S135*T135*F!$B$50,IF(U135=51%,R135*S135*T135*F!$B$51,IF(U135=52%,R135*S135*T135*F!$B$52,IF(U135=53%,R135*S135*T135*F!$B$53,IF(U135=54%,R135*S135*T135*F!$B$54,IF(U135=55%,R135*S135*T135*F!$B$55,IF(U135=56%,R135*S135*T135*F!$B$56,IF(U135=57%,R135*S135*T135*F!$B$57,IF(U135=58%,R135*S135*T135*F!$B$58,IF(U135=59%,R135*S135*T135*F!$B$59,IF(U135=60%,R135*S135*T135*F!$B$60,IF(U135=61%,R135*S135*T135*F!$B$61,IF(U135=62%,R135*S135*T135*F!$B$62,IF(U135=63%,R135*S135*T135*F!$B$63,IF(U135=64%,R135*S135*T135*F!$B$64,IF(U135=65%,R135*S135*T135*F!$B$65,IF(U135=66%,R135*S135*T135*F!$B$66,IF(U135=67%,R135*S135*T135*F!$B$67,IF(U135=68%,R135*S135*T135*F!$B$68,IF(U135=69%,R135*S135*T135*F!$B$69,IF(U135=70%,R135*S135*T135*F!$B$70,IF(U135=71%,R135*S135*T135*F!$B$71,IF(U135=72%,R135*S135*T135*F!$B$72,IF(U135=73%,R135*S135*T135*F!$B$73,IF(U135=74%,R135*S135*T135*F!$B$74,IF(U135=75%,R135*S135*T135*F!$B$75,IF(U135=76%,R135*S135*T135*F!$B$76,IF(U135=77%,R135*S135*T135*F!$B$77,IF(U135=78%,R135*S135*T135*F!$B$78,IF(U135=79%,R135*S135*T135*F!$B$79,IF(U135=80%,R135*S135*T135*F!$B$80,IF(U135=81%,R135*S135*T135*F!$B$81,IF(U135=82%,R135*S135*T135*F!$B$82,IF(U135=83%,R135*S135*T135*F!$B$83,IF(U135=84%,R135*S135*T135*F!$B$84,IF(U135=85%,R135*S135*T135*F!$B$85,IF(U135=86%,R135*S135*T135*F!$B$86,IF(U135=87%,R135*S135*T135*F!$B$87,IF(U135=88%,R135*S135*T135*F!$B$88,IF(U135=89%,R135*S135*T135*F!$B$89,IF(U135=90%,R135*S135*T135*F!$B$90,IF(U135=91%,R135*S135*T135*F!$B$91,IF(U135=92%,R135*S135*T135*F!$B$92,IF(U135=93%,R135*S135*T135*F!$B$93,IF(U135=94%,R135*S135*T135*F!$B$94,IF(U135=95%,R135*S135*T135*F!$B$95,IF(U135=96%,R135*S135*T135*F!$B$96,IF(U135=97%,R135*S135*T135*F!$B$97,IF(U135=98%,R135*S135*T135*F!$B$98,IF(U135=99%,R135*S135*T135*F!$B$99,IF(U135&gt;99%,R135*S135*T135*F!$B$100)))))))))))))))))))))))))))))))))))))))))))))))))))))))))*IF(ISNUMBER(E135),E135,1)*IF(ISNUMBER(D135),D135,1)</f>
        <v>0</v>
      </c>
      <c r="AA135" s="93">
        <f t="shared" ref="AA135:AA140" si="324">G135*H135+K135*L135+O135*P135+S135*T135</f>
        <v>0</v>
      </c>
      <c r="AB135" s="99">
        <f t="shared" ref="AB135:AB140" si="325">(H135*(IF(I135&lt;45%,0.5,IF(I135&lt;55%,0.8,IF(I135&lt;65%,0.9,IF(I135&lt;75%,1,IF(I135&lt;85%,1.1,1.2))))))+L135*(IF(M135&lt;45%,0.5,IF(M135&lt;55%,0.8,IF(M135&lt;65%,0.9,IF(M135&lt;75%,1,IF(M135&lt;85%,1.1,1.2))))))+P135*(IF(Q135&lt;45%,0.5,IF(Q135&lt;55%,0.8,IF(Q135&lt;65%,0.9,IF(Q135&lt;75%,1,IF(Q135&lt;85%,1.1,1.2))))))+T135*(IF(U135&lt;45%,0.5,IF(U135&lt;55%,0.8,IF(U135&lt;65%,0.9,IF(U135&lt;75%,1,IF(U135&lt;85%,1.1,1.2)))))))*IF(D135&gt;=0.8,6,IF(D135&lt;=0.4,1.5,3))</f>
        <v>0</v>
      </c>
      <c r="AC135" s="9"/>
      <c r="AD135" s="9"/>
      <c r="AE135" s="9"/>
      <c r="AF135" s="112"/>
      <c r="AG135" s="9"/>
      <c r="AH135" s="9"/>
      <c r="AI135" s="9"/>
      <c r="AJ135" s="9"/>
      <c r="AK135" s="9"/>
      <c r="AL135" s="9"/>
      <c r="AM135" s="9"/>
      <c r="AN135" s="9"/>
      <c r="AO135" s="180"/>
      <c r="AP135" s="164"/>
      <c r="AQ135" s="164"/>
      <c r="AR135" s="164"/>
      <c r="AS135" s="164"/>
      <c r="AT135" s="164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ht="15.0" hidden="1" customHeight="1">
      <c r="A136" s="142">
        <f>A129+1</f>
        <v>42357</v>
      </c>
      <c r="B136" s="101" t="str">
        <f t="shared" ref="B136:C136" si="313">IF(B99="","",B99)</f>
        <v/>
      </c>
      <c r="C136" s="143" t="str">
        <f t="shared" si="313"/>
        <v/>
      </c>
      <c r="D136" s="46" t="str">
        <f t="shared" si="314"/>
        <v/>
      </c>
      <c r="E136" s="144" t="str">
        <f t="shared" si="264"/>
        <v/>
      </c>
      <c r="F136" s="59"/>
      <c r="G136" s="60"/>
      <c r="H136" s="60"/>
      <c r="I136" s="61" t="str">
        <f t="shared" si="315"/>
        <v/>
      </c>
      <c r="J136" s="59"/>
      <c r="K136" s="60"/>
      <c r="L136" s="60"/>
      <c r="M136" s="61" t="str">
        <f t="shared" si="316"/>
        <v/>
      </c>
      <c r="N136" s="59"/>
      <c r="O136" s="60"/>
      <c r="P136" s="60"/>
      <c r="Q136" s="61" t="str">
        <f t="shared" si="317"/>
        <v/>
      </c>
      <c r="R136" s="59"/>
      <c r="S136" s="60"/>
      <c r="T136" s="60"/>
      <c r="U136" s="61" t="str">
        <f t="shared" si="318"/>
        <v/>
      </c>
      <c r="V136" s="104">
        <f t="shared" si="319"/>
        <v>0</v>
      </c>
      <c r="W136" s="64">
        <f t="shared" si="320"/>
        <v>0</v>
      </c>
      <c r="X136" s="65">
        <f t="shared" si="321"/>
        <v>0</v>
      </c>
      <c r="Y136" s="137" t="str">
        <f t="shared" si="322"/>
        <v/>
      </c>
      <c r="Z136" s="64">
        <f t="shared" si="323"/>
        <v>0</v>
      </c>
      <c r="AA136" s="60">
        <f t="shared" si="324"/>
        <v>0</v>
      </c>
      <c r="AB136" s="66">
        <f t="shared" si="325"/>
        <v>0</v>
      </c>
      <c r="AC136" s="9"/>
      <c r="AD136" s="9"/>
      <c r="AE136" s="9"/>
      <c r="AF136" s="112"/>
      <c r="AG136" s="9"/>
      <c r="AH136" s="9"/>
      <c r="AI136" s="9"/>
      <c r="AJ136" s="9"/>
      <c r="AK136" s="9"/>
      <c r="AL136" s="9"/>
      <c r="AM136" s="9"/>
      <c r="AN136" s="9"/>
      <c r="AO136" s="164"/>
      <c r="AP136" s="164"/>
      <c r="AQ136" s="164"/>
      <c r="AR136" s="164"/>
      <c r="AS136" s="164"/>
      <c r="AT136" s="164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</row>
    <row r="137" ht="15.75" hidden="1" customHeight="1">
      <c r="A137" s="57"/>
      <c r="B137" s="101" t="str">
        <f t="shared" ref="B137:C137" si="326">IF(B100="","",B100)</f>
        <v/>
      </c>
      <c r="C137" s="143" t="str">
        <f t="shared" si="326"/>
        <v/>
      </c>
      <c r="D137" s="46" t="str">
        <f t="shared" si="314"/>
        <v/>
      </c>
      <c r="E137" s="144" t="str">
        <f t="shared" si="264"/>
        <v/>
      </c>
      <c r="F137" s="105"/>
      <c r="G137" s="106"/>
      <c r="H137" s="106"/>
      <c r="I137" s="107" t="str">
        <f t="shared" si="315"/>
        <v/>
      </c>
      <c r="J137" s="105"/>
      <c r="K137" s="106"/>
      <c r="L137" s="106"/>
      <c r="M137" s="107" t="str">
        <f t="shared" si="316"/>
        <v/>
      </c>
      <c r="N137" s="105"/>
      <c r="O137" s="106"/>
      <c r="P137" s="106"/>
      <c r="Q137" s="107" t="str">
        <f t="shared" si="317"/>
        <v/>
      </c>
      <c r="R137" s="105"/>
      <c r="S137" s="106"/>
      <c r="T137" s="106"/>
      <c r="U137" s="107" t="str">
        <f t="shared" si="318"/>
        <v/>
      </c>
      <c r="V137" s="108">
        <f t="shared" si="319"/>
        <v>0</v>
      </c>
      <c r="W137" s="109">
        <f t="shared" si="320"/>
        <v>0</v>
      </c>
      <c r="X137" s="110">
        <f t="shared" si="321"/>
        <v>0</v>
      </c>
      <c r="Y137" s="137" t="str">
        <f t="shared" si="322"/>
        <v/>
      </c>
      <c r="Z137" s="109">
        <f t="shared" si="323"/>
        <v>0</v>
      </c>
      <c r="AA137" s="106">
        <f t="shared" si="324"/>
        <v>0</v>
      </c>
      <c r="AB137" s="111">
        <f t="shared" si="325"/>
        <v>0</v>
      </c>
      <c r="AC137" s="9"/>
      <c r="AD137" s="9"/>
      <c r="AE137" s="9"/>
      <c r="AF137" s="112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</row>
    <row r="138" ht="15.75" hidden="1" customHeight="1">
      <c r="A138" s="57"/>
      <c r="B138" s="101" t="str">
        <f t="shared" ref="B138:C138" si="327">IF(B101="","",B101)</f>
        <v/>
      </c>
      <c r="C138" s="143" t="str">
        <f t="shared" si="327"/>
        <v/>
      </c>
      <c r="D138" s="46" t="str">
        <f t="shared" si="314"/>
        <v/>
      </c>
      <c r="E138" s="144" t="str">
        <f t="shared" si="264"/>
        <v/>
      </c>
      <c r="F138" s="59"/>
      <c r="G138" s="60"/>
      <c r="H138" s="60"/>
      <c r="I138" s="61" t="str">
        <f t="shared" si="315"/>
        <v/>
      </c>
      <c r="J138" s="59"/>
      <c r="K138" s="60"/>
      <c r="L138" s="60"/>
      <c r="M138" s="61" t="str">
        <f t="shared" si="316"/>
        <v/>
      </c>
      <c r="N138" s="59"/>
      <c r="O138" s="60"/>
      <c r="P138" s="60"/>
      <c r="Q138" s="61" t="str">
        <f t="shared" si="317"/>
        <v/>
      </c>
      <c r="R138" s="59"/>
      <c r="S138" s="60"/>
      <c r="T138" s="60"/>
      <c r="U138" s="61" t="str">
        <f t="shared" si="318"/>
        <v/>
      </c>
      <c r="V138" s="104">
        <f t="shared" si="319"/>
        <v>0</v>
      </c>
      <c r="W138" s="64">
        <f t="shared" si="320"/>
        <v>0</v>
      </c>
      <c r="X138" s="65">
        <f t="shared" si="321"/>
        <v>0</v>
      </c>
      <c r="Y138" s="137" t="str">
        <f t="shared" si="322"/>
        <v/>
      </c>
      <c r="Z138" s="64">
        <f t="shared" si="323"/>
        <v>0</v>
      </c>
      <c r="AA138" s="60">
        <f t="shared" si="324"/>
        <v>0</v>
      </c>
      <c r="AB138" s="66">
        <f t="shared" si="325"/>
        <v>0</v>
      </c>
      <c r="AC138" s="9"/>
      <c r="AD138" s="9"/>
      <c r="AE138" s="9"/>
      <c r="AF138" s="112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</row>
    <row r="139" ht="15.75" hidden="1" customHeight="1">
      <c r="A139" s="57"/>
      <c r="B139" s="101" t="str">
        <f t="shared" ref="B139:C139" si="328">IF(B102="","",B102)</f>
        <v/>
      </c>
      <c r="C139" s="143" t="str">
        <f t="shared" si="328"/>
        <v/>
      </c>
      <c r="D139" s="46" t="str">
        <f t="shared" si="314"/>
        <v/>
      </c>
      <c r="E139" s="144" t="str">
        <f t="shared" si="264"/>
        <v/>
      </c>
      <c r="F139" s="105"/>
      <c r="G139" s="106"/>
      <c r="H139" s="106"/>
      <c r="I139" s="107" t="str">
        <f t="shared" si="315"/>
        <v/>
      </c>
      <c r="J139" s="105"/>
      <c r="K139" s="106"/>
      <c r="L139" s="106"/>
      <c r="M139" s="107" t="str">
        <f t="shared" si="316"/>
        <v/>
      </c>
      <c r="N139" s="105"/>
      <c r="O139" s="106"/>
      <c r="P139" s="106"/>
      <c r="Q139" s="107" t="str">
        <f t="shared" si="317"/>
        <v/>
      </c>
      <c r="R139" s="105"/>
      <c r="S139" s="106"/>
      <c r="T139" s="106"/>
      <c r="U139" s="107" t="str">
        <f t="shared" si="318"/>
        <v/>
      </c>
      <c r="V139" s="108">
        <f t="shared" si="319"/>
        <v>0</v>
      </c>
      <c r="W139" s="109">
        <f t="shared" si="320"/>
        <v>0</v>
      </c>
      <c r="X139" s="117">
        <f t="shared" si="321"/>
        <v>0</v>
      </c>
      <c r="Y139" s="137" t="str">
        <f t="shared" si="322"/>
        <v/>
      </c>
      <c r="Z139" s="109">
        <f t="shared" si="323"/>
        <v>0</v>
      </c>
      <c r="AA139" s="106">
        <f t="shared" si="324"/>
        <v>0</v>
      </c>
      <c r="AB139" s="111">
        <f t="shared" si="325"/>
        <v>0</v>
      </c>
      <c r="AC139" s="9"/>
      <c r="AD139" s="9"/>
      <c r="AE139" s="9"/>
      <c r="AF139" s="112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</row>
    <row r="140" ht="15.75" hidden="1" customHeight="1">
      <c r="A140" s="57"/>
      <c r="B140" s="101" t="str">
        <f t="shared" ref="B140:C140" si="329">IF(B103="","",B103)</f>
        <v/>
      </c>
      <c r="C140" s="143" t="str">
        <f t="shared" si="329"/>
        <v/>
      </c>
      <c r="D140" s="46" t="str">
        <f t="shared" si="314"/>
        <v/>
      </c>
      <c r="E140" s="144" t="str">
        <f t="shared" si="264"/>
        <v/>
      </c>
      <c r="F140" s="59"/>
      <c r="G140" s="60"/>
      <c r="H140" s="60"/>
      <c r="I140" s="61" t="str">
        <f t="shared" si="315"/>
        <v/>
      </c>
      <c r="J140" s="59"/>
      <c r="K140" s="60"/>
      <c r="L140" s="60"/>
      <c r="M140" s="61" t="str">
        <f t="shared" si="316"/>
        <v/>
      </c>
      <c r="N140" s="59"/>
      <c r="O140" s="60"/>
      <c r="P140" s="60"/>
      <c r="Q140" s="61" t="str">
        <f t="shared" si="317"/>
        <v/>
      </c>
      <c r="R140" s="59"/>
      <c r="S140" s="60"/>
      <c r="T140" s="60"/>
      <c r="U140" s="61" t="str">
        <f t="shared" si="318"/>
        <v/>
      </c>
      <c r="V140" s="104">
        <f t="shared" si="319"/>
        <v>0</v>
      </c>
      <c r="W140" s="64">
        <f t="shared" si="320"/>
        <v>0</v>
      </c>
      <c r="X140" s="65">
        <f t="shared" si="321"/>
        <v>0</v>
      </c>
      <c r="Y140" s="137" t="str">
        <f t="shared" si="322"/>
        <v/>
      </c>
      <c r="Z140" s="64">
        <f t="shared" si="323"/>
        <v>0</v>
      </c>
      <c r="AA140" s="60">
        <f t="shared" si="324"/>
        <v>0</v>
      </c>
      <c r="AB140" s="66">
        <f t="shared" si="325"/>
        <v>0</v>
      </c>
      <c r="AC140" s="9"/>
      <c r="AD140" s="9"/>
      <c r="AE140" s="9"/>
      <c r="AF140" s="112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</row>
    <row r="141" ht="15.75" hidden="1" customHeight="1">
      <c r="A141" s="72"/>
      <c r="B141" s="119" t="str">
        <f t="shared" ref="B141:C141" si="330">IF(B104="","",B104)</f>
        <v/>
      </c>
      <c r="C141" s="146" t="str">
        <f t="shared" si="330"/>
        <v/>
      </c>
      <c r="D141" s="75">
        <f>ROUND(IFERROR((D135*(G135*H135+K135*L135+O135*P135+S135*T135)+D136*(G136*H136+K136*L136+O136*P136+S136*T136)+D137*(G137*H137+K137*L137+O137*P137+S137*T137)+D138*(G138*H138+K138*L138+O138*P138+S138*T138)+D139*(G139*H139+K139*L139+O139*P139+S139*T139)+D140*(G140*H140+K140*L140+O140*P140+S140*T140))/((G135*H135+K135*L135+O135*P135+S135*T135)+(G136*H136+K136*L136+O136*P136+S136*T136)+(G137*H137+K137*L137+O137*P137+S137*T137)+(G138*H138+K138*L138+O138*P138+S138*T138)+(G139*H139+K139*L139+O139*P139+S139*T139)+(G140*H140+K140*L140+O140*P140+S140*T140)),0),2)</f>
        <v>0</v>
      </c>
      <c r="E141" s="147" t="str">
        <f t="shared" si="264"/>
        <v/>
      </c>
      <c r="F141" s="122"/>
      <c r="G141" s="123"/>
      <c r="H141" s="123"/>
      <c r="I141" s="124"/>
      <c r="J141" s="122"/>
      <c r="K141" s="123"/>
      <c r="L141" s="123"/>
      <c r="M141" s="124"/>
      <c r="N141" s="122"/>
      <c r="O141" s="123"/>
      <c r="P141" s="123"/>
      <c r="Q141" s="124"/>
      <c r="R141" s="122"/>
      <c r="S141" s="123"/>
      <c r="T141" s="123"/>
      <c r="U141" s="124"/>
      <c r="V141" s="125">
        <f>SUM(V135:V140)</f>
        <v>0</v>
      </c>
      <c r="W141" s="82">
        <f>IFERROR(V141/AA141,0)</f>
        <v>0</v>
      </c>
      <c r="X141" s="83">
        <f>ROUND(IFERROR(((I135*G135*H135+M135*K135*L135+Q135*O135*P135+U135*S135*T135)+(I136*G136*H136+M136*K136*L136+Q136*O136*P136+U136*S136*T136)+(I137*G137*H137+M137*K137*L137+Q137*O137*P137+U137*S137*T137)+(I138*G138*H138+M138*K138*L138+Q138*O138*P138+U138*S138*T138)+(I139*G139*H139+M139*K139*L139+Q139*O139*P139+U139*S139*T139)+(I140*G140*H140+M140*K140*L140+Q140*O140*P140+U140*S140*T140))/((G135*H135+K135*L135+O135*P135+S135*T135)+(G136*H136+K136*L136+O136*P136+S136*T136)+(G137*H137+K137*L137+O137*P137+S137*T137)+(G138*H138+K138*L138+O138*P138+S138*T138)+(G139*H139+K139*L139+O139*P139+S139*T139)+(G140*H140+K140*L140+O140*P140+S140*T140)),0),3)</f>
        <v>0</v>
      </c>
      <c r="Y141" s="84"/>
      <c r="Z141" s="82">
        <f t="shared" ref="Z141:AA141" si="331">SUM(Z135:Z140)</f>
        <v>0</v>
      </c>
      <c r="AA141" s="85">
        <f t="shared" si="331"/>
        <v>0</v>
      </c>
      <c r="AB141" s="86">
        <f>IF(SUM(AB135:AB140)=0,TIME(,0,),TIME(,SUM(AB135:AB140)+30,))</f>
        <v>0</v>
      </c>
      <c r="AC141" s="9"/>
      <c r="AD141" s="9"/>
      <c r="AE141" s="9"/>
      <c r="AF141" s="112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</row>
    <row r="142" ht="15.75" hidden="1" customHeight="1">
      <c r="A142" s="126" t="s">
        <v>36</v>
      </c>
      <c r="B142" s="27" t="str">
        <f t="shared" ref="B142:C142" si="332">IF(B105="","",B105)</f>
        <v/>
      </c>
      <c r="C142" s="148" t="str">
        <f t="shared" si="332"/>
        <v/>
      </c>
      <c r="D142" s="29" t="str">
        <f t="shared" ref="D142:D147" si="334">D105</f>
        <v/>
      </c>
      <c r="E142" s="30" t="str">
        <f t="shared" si="264"/>
        <v/>
      </c>
      <c r="F142" s="31"/>
      <c r="G142" s="32"/>
      <c r="H142" s="32"/>
      <c r="I142" s="33" t="str">
        <f t="shared" ref="I142:I147" si="335">IFERROR(ROUND(F142/$Y142,2),)</f>
        <v/>
      </c>
      <c r="J142" s="31"/>
      <c r="K142" s="32"/>
      <c r="L142" s="32"/>
      <c r="M142" s="33" t="str">
        <f t="shared" ref="M142:M147" si="336">IFERROR(ROUND(J142/$Y142,2),)</f>
        <v/>
      </c>
      <c r="N142" s="31"/>
      <c r="O142" s="32"/>
      <c r="P142" s="32"/>
      <c r="Q142" s="33" t="str">
        <f t="shared" ref="Q142:Q147" si="337">IFERROR(ROUND(N142/$Y142,2),)</f>
        <v/>
      </c>
      <c r="R142" s="31"/>
      <c r="S142" s="32"/>
      <c r="T142" s="32"/>
      <c r="U142" s="33" t="str">
        <f t="shared" ref="U142:U147" si="338">IFERROR(ROUND(R142/$Y142,2),)</f>
        <v/>
      </c>
      <c r="V142" s="130">
        <f t="shared" ref="V142:V147" si="339">(IF(ISNUMBER(F142),F142,1)*G142*H142+IF(ISNUMBER(J142),J142,1)*K142*L142+IF(ISNUMBER(N142),N142,1)*O142*P142+IF(ISNUMBER(R142),R142,1)*S142*T142)*IF(ISNUMBER(E142),E142,1)</f>
        <v>0</v>
      </c>
      <c r="W142" s="36">
        <f t="shared" ref="W142:W147" si="340">IFERROR((IF(ISNUMBER(F142),F142,1)*G142*H142+IF(ISNUMBER(J142),J142,1)*K142*L142+IF(ISNUMBER(N142),N142,1)*O142*P142+IF(ISNUMBER(R142),R142,1)*S142*T142)*IF(ISNUMBER(E142),E142,1)/(G142*H142+K142*L142+O142*P142+S142*T142),0)</f>
        <v>0</v>
      </c>
      <c r="X142" s="34">
        <f t="shared" ref="X142:X147" si="341">ROUND(IFERROR((W142/(Y142*IF(ISNUMBER(E142),E142,1))),0),2)</f>
        <v>0</v>
      </c>
      <c r="Y142" s="37" t="str">
        <f t="shared" ref="Y142:Y147" si="342">IF(ISNUMBER(Y105), Y105+(Y105*$Y$112),"")</f>
        <v/>
      </c>
      <c r="Z142" s="36">
        <f t="shared" ref="Z142:Z147" si="343">(IF(I142&lt;30%,0,IF(I142&lt;35%,F142*G142*H142*F!$B$33,IF(I142&lt;40%,F142*G142*H142*F!$B$38,IF(I142&lt;45%,F142*G142*H142*F!$B$43,IF(I142&lt;50%,F142*G142*H142*F!$B$48,IF(I142=50%,F142*G142*H142*F!$B$50,IF(I142=51%,F142*G142*H142*F!$B$51,IF(I142=52%,F142*G142*H142*F!$B$52,IF(I142=53%,F142*G142*H142*F!$B$53,IF(I142=54%,F142*G142*H142*F!$B$54,IF(I142=55%,F142*G142*H142*F!$B$55,IF(I142=56%,F142*G142*H142*F!$B$56,IF(I142=57%,F142*G142*H142*F!$B$57,IF(I142=58%,F142*G142*H142*F!$B$58,IF(I142=59%,F142*G142*H142*F!$B$59,IF(I142=60%,F142*G142*H142*F!$B$60,IF(I142=61%,F142*G142*H142*F!$B$61,IF(I142=62%,F142*G142*H142*F!$B$62,IF(I142=63%,F142*G142*H142*F!$B$63,IF(I142=64%,F142*G142*H142*F!$B$64,IF(I142=65%,F142*G142*H142*F!$B$65,IF(I142=66%,F142*G142*H142*F!$B$66,IF(I142=67%,F142*G142*H142*F!$B$67,IF(I142=68%,F142*G142*H142*F!$B$68,IF(I142=69%,F142*G142*H142*F!$B$69,IF(I142=70%,F142*G142*H142*F!$B$70,IF(I142=71%,F142*G142*H142*F!$B$71,IF(I142=72%,F142*G142*H142*F!$B$72,IF(I142=73%,F142*G142*H142*F!$B$73,IF(I142=74%,F142*G142*H142*F!$B$74,IF(I142=75%,F142*G142*H142*F!$B$75,IF(I142=76%,F142*G142*H142*F!$B$76,IF(I142=77%,F142*G142*H142*F!$B$77,IF(I142=78%,F142*G142*H142*F!$B$78,IF(I142=79%,F142*G142*H142*F!$B$79,IF(I142=80%,F142*G142*H142*F!$B$80,IF(I142=81%,F142*G142*H142*F!$B$81,IF(I142=82%,F142*G142*H142*F!$B$82,IF(I142=83%,F142*G142*H142*F!$B$83,IF(I142=84%,F142*G142*H142*F!$B$84,IF(I142=85%,F142*G142*H142*F!$B$85,IF(I142=86%,F142*G142*H142*F!$B$86,IF(I142=87%,F142*G142*H142*F!$B$87,IF(I142=88%,F142*G142*H142*F!$B$88,IF(I142=89%,F142*G142*H142*F!$B$89,IF(I142=90%,F142*G142*H142*F!$B$90,IF(I142=91%,F142*G142*H142*F!$B$91,IF(I142=92%,F142*G142*H142*F!$B$92,IF(I142=93%,F142*G142*H142*F!$B$93,IF(I142=94%,F142*G142*H142*F!$B$94,IF(I142=95%,F142*G142*H142*F!$B$95,IF(I142=96%,F142*G142*H142*F!$B$96,IF(I142=97%,F142*G142*H142*F!$B$97,IF(I142=98%,F142*G142*H142*F!$B$98,IF(I142=99%,F142*G142*H142*F!$B$99,IF(I142&gt;99%,F142*G142*H142*F!$B$100,))))))))))))))))))))))))))))))))))))))))))))))))))))))))+IF(M142&lt;30%,0,IF(M142&lt;35%,J142*K142*L142*F!$B$33,IF(M142&lt;40%,J142*K142*L142*F!$B$38,IF(M142&lt;45%,J142*K142*L142*F!$B$43,IF(M142&lt;50%,J142*K142*L142*F!$B$48,IF(M142=50%,J142*K142*L142*F!$B$50,IF(M142=51%,J142*K142*L142*F!$B$51,IF(M142=52%,J142*K142*L142*F!$B$52,IF(M142=53%,J142*K142*L142*F!$B$53,IF(M142=54%,J142*K142*L142*F!$B$54,IF(M142=55%,J142*K142*L142*F!$B$55,IF(M142=56%,J142*K142*L142*F!$B$56,IF(M142=57%,J142*K142*L142*F!$B$57,IF(M142=58%,J142*K142*L142*F!$B$58,IF(M142=59%,J142*K142*L142*F!$B$59,IF(M142=60%,J142*K142*L142*F!$B$60,IF(M142=61%,J142*K142*L142*F!$B$61,IF(M142=62%,J142*K142*L142*F!$B$62,IF(M142=63%,J142*K142*L142*F!$B$63,IF(M142=64%,J142*K142*L142*F!$B$64,IF(M142=65%,J142*K142*L142*F!$B$65,IF(M142=66%,J142*K142*L142*F!$B$66,IF(M142=67%,J142*K142*L142*F!$B$67,IF(M142=68%,J142*K142*L142*F!$B$68,IF(M142=69%,J142*K142*L142*F!$B$69,IF(M142=70%,J142*K142*L142*F!$B$70,IF(M142=71%,J142*K142*L142*F!$B$71,IF(M142=72%,J142*K142*L142*F!$B$72,IF(M142=73%,J142*K142*L142*F!$B$73,IF(M142=74%,J142*K142*L142*F!$B$74,IF(M142=75%,J142*K142*L142*F!$B$75,IF(M142=76%,J142*K142*L142*F!$B$76,IF(M142=77%,J142*K142*L142*F!$B$77,IF(M142=78%,J142*K142*L142*F!$B$78,IF(M142=79%,J142*K142*L142*F!$B$79,IF(M142=80%,J142*K142*L142*F!$B$80,IF(M142=81%,J142*K142*L142*F!$B$81,IF(M142=82%,J142*K142*L142*F!$B$82,IF(M142=83%,J142*K142*L142*F!$B$83,IF(M142=84%,J142*K142*L142*F!$B$84,IF(M142=85%,J142*K142*L142*F!$B$85,IF(M142=86%,J142*K142*L142*F!$B$86,IF(M142=87%,J142*K142*L142*F!$B$87,IF(M142=88%,J142*K142*L142*F!$B$88,IF(M142=89%,J142*K142*L142*F!$B$89,IF(M142=90%,J142*K142*L142*F!$B$90,IF(M142=91%,J142*K142*L142*F!$B$91,IF(M142=92%,J142*K142*L142*F!$B$92,IF(M142=93%,J142*K142*L142*F!$B$93,IF(M142=94%,J142*K142*L142*F!$B$94,IF(M142=95%,J142*K142*L142*F!$B$95,IF(M142=96%,J142*K142*L142*F!$B$96,IF(M142=97%,J142*K142*L142*F!$B$97,IF(M142=98%,J142*K142*L142*F!$B$98,IF(M142=99%,J142*K142*L142*F!$B$99,IF(M142&gt;99%,J142*K142*L142*F!$B$100,))))))))))))))))))))))))))))))))))))))))))))))))))))))))+IF(Q142&lt;30%,0,IF(Q142&lt;35%,N142*O142*P142*F!$B$33,IF(Q142&lt;40%,N142*O142*P142*F!$B$38,IF(Q142&lt;45%,N142*O142*P142*F!$B$43,IF(Q142&lt;50%,N142*O142*P142*F!$B$48,IF(Q142=50%,N142*O142*P142*F!$B$50,IF(Q142=51%,N142*O142*P142*F!$B$51,IF(Q142=52%,N142*O142*P142*F!$B$52,IF(Q142=53%,N142*O142*P142*F!$B$53,IF(Q142=54%,N142*O142*P142*F!$B$54,IF(Q142=55%,N142*O142*P142*F!$B$55,IF(Q142=56%,N142*O142*P142*F!$B$56,IF(Q142=57%,N142*O142*P142*F!$B$57,IF(Q142=58%,N142*O142*P142*F!$B$58,IF(Q142=59%,N142*O142*P142*F!$B$59,IF(Q142=60%,N142*O142*P142*F!$B$60,IF(Q142=61%,N142*O142*P142*F!$B$61,IF(Q142=62%,N142*O142*P142*F!$B$62,IF(Q142=63%,N142*O142*P142*F!$B$63,IF(Q142=64%,N142*O142*P142*F!$B$64,IF(Q142=65%,N142*O142*P142*F!$B$65,IF(Q142=66%,N142*O142*P142*F!$B$66,IF(Q142=67%,N142*O142*P142*F!$B$67,IF(Q142=68%,N142*O142*P142*F!$B$68,IF(Q142=69%,N142*O142*P142*F!$B$69,IF(Q142=70%,N142*O142*P142*F!$B$70,IF(Q142=71%,N142*O142*P142*F!$B$71,IF(Q142=72%,N142*O142*P142*F!$B$72,IF(Q142=73%,N142*O142*P142*F!$B$73,IF(Q142=74%,N142*O142*P142*F!$B$74,IF(Q142=75%,N142*O142*P142*F!$B$75,IF(Q142=76%,N142*O142*P142*F!$B$76,IF(Q142=77%,N142*O142*P142*F!$B$77,IF(Q142=78%,N142*O142*P142*F!$B$78,IF(Q142=79%,N142*O142*P142*F!$B$79,IF(Q142=80%,N142*O142*P142*F!$B$80,IF(Q142=81%,N142*O142*P142*F!$B$81,IF(Q142=82%,N142*O142*P142*F!$B$82,IF(Q142=83%,N142*O142*P142*F!$B$83,IF(Q142=84%,N142*O142*P142*F!$B$84,IF(Q142=85%,N142*O142*P142*F!$B$85,IF(Q142=86%,N142*O142*P142*F!$B$86,IF(Q142=87%,N142*O142*P142*F!$B$87,IF(Q142=88%,N142*O142*P142*F!$B$88,IF(Q142=89%,N142*O142*P142*F!$B$89,IF(Q142=90%,N142*O142*P142*F!$B$90,IF(Q142=91%,N142*O142*P142*F!$B$91,IF(Q142=92%,N142*O142*P142*F!$B$92,IF(Q142=93%,N142*O142*P142*F!$B$93,IF(Q142=94%,N142*O142*P142*F!$B$94,IF(Q142=95%,N142*O142*P142*F!$B$95,IF(Q142=96%,N142*O142*P142*F!$B$96,IF(Q142=97%,N142*O142*P142*F!$B$97,IF(Q142=98%,N142*O142*P142*F!$B$98,IF(Q142=99%,N142*O142*P142*F!$B$99,IF(Q142&gt;99%,N142*O142*P142*F!$B$100,))))))))))))))))))))))))))))))))))))))))))))))))))))))))+IF(U142&lt;30%,0,IF(U142&lt;35%,R142*S142*T142*F!$B$33,IF(U142&lt;40%,R142*S142*T142*F!$B$38,IF(U142&lt;45%,R142*S142*T142*F!$B$43,IF(U142&lt;50%,R142*S142*T142*F!$B$48,IF(U142=50%,R142*S142*T142*F!$B$50,IF(U142=51%,R142*S142*T142*F!$B$51,IF(U142=52%,R142*S142*T142*F!$B$52,IF(U142=53%,R142*S142*T142*F!$B$53,IF(U142=54%,R142*S142*T142*F!$B$54,IF(U142=55%,R142*S142*T142*F!$B$55,IF(U142=56%,R142*S142*T142*F!$B$56,IF(U142=57%,R142*S142*T142*F!$B$57,IF(U142=58%,R142*S142*T142*F!$B$58,IF(U142=59%,R142*S142*T142*F!$B$59,IF(U142=60%,R142*S142*T142*F!$B$60,IF(U142=61%,R142*S142*T142*F!$B$61,IF(U142=62%,R142*S142*T142*F!$B$62,IF(U142=63%,R142*S142*T142*F!$B$63,IF(U142=64%,R142*S142*T142*F!$B$64,IF(U142=65%,R142*S142*T142*F!$B$65,IF(U142=66%,R142*S142*T142*F!$B$66,IF(U142=67%,R142*S142*T142*F!$B$67,IF(U142=68%,R142*S142*T142*F!$B$68,IF(U142=69%,R142*S142*T142*F!$B$69,IF(U142=70%,R142*S142*T142*F!$B$70,IF(U142=71%,R142*S142*T142*F!$B$71,IF(U142=72%,R142*S142*T142*F!$B$72,IF(U142=73%,R142*S142*T142*F!$B$73,IF(U142=74%,R142*S142*T142*F!$B$74,IF(U142=75%,R142*S142*T142*F!$B$75,IF(U142=76%,R142*S142*T142*F!$B$76,IF(U142=77%,R142*S142*T142*F!$B$77,IF(U142=78%,R142*S142*T142*F!$B$78,IF(U142=79%,R142*S142*T142*F!$B$79,IF(U142=80%,R142*S142*T142*F!$B$80,IF(U142=81%,R142*S142*T142*F!$B$81,IF(U142=82%,R142*S142*T142*F!$B$82,IF(U142=83%,R142*S142*T142*F!$B$83,IF(U142=84%,R142*S142*T142*F!$B$84,IF(U142=85%,R142*S142*T142*F!$B$85,IF(U142=86%,R142*S142*T142*F!$B$86,IF(U142=87%,R142*S142*T142*F!$B$87,IF(U142=88%,R142*S142*T142*F!$B$88,IF(U142=89%,R142*S142*T142*F!$B$89,IF(U142=90%,R142*S142*T142*F!$B$90,IF(U142=91%,R142*S142*T142*F!$B$91,IF(U142=92%,R142*S142*T142*F!$B$92,IF(U142=93%,R142*S142*T142*F!$B$93,IF(U142=94%,R142*S142*T142*F!$B$94,IF(U142=95%,R142*S142*T142*F!$B$95,IF(U142=96%,R142*S142*T142*F!$B$96,IF(U142=97%,R142*S142*T142*F!$B$97,IF(U142=98%,R142*S142*T142*F!$B$98,IF(U142=99%,R142*S142*T142*F!$B$99,IF(U142&gt;99%,R142*S142*T142*F!$B$100)))))))))))))))))))))))))))))))))))))))))))))))))))))))))*IF(ISNUMBER(E142),E142,1)*IF(ISNUMBER(D142),D142,1)</f>
        <v>0</v>
      </c>
      <c r="AA142" s="32">
        <f t="shared" ref="AA142:AA147" si="344">G142*H142+K142*L142+O142*P142+S142*T142</f>
        <v>0</v>
      </c>
      <c r="AB142" s="38">
        <f t="shared" ref="AB142:AB147" si="345">(H142*(IF(I142&lt;45%,0.5,IF(I142&lt;55%,0.8,IF(I142&lt;65%,0.9,IF(I142&lt;75%,1,IF(I142&lt;85%,1.1,1.2))))))+L142*(IF(M142&lt;45%,0.5,IF(M142&lt;55%,0.8,IF(M142&lt;65%,0.9,IF(M142&lt;75%,1,IF(M142&lt;85%,1.1,1.2))))))+P142*(IF(Q142&lt;45%,0.5,IF(Q142&lt;55%,0.8,IF(Q142&lt;65%,0.9,IF(Q142&lt;75%,1,IF(Q142&lt;85%,1.1,1.2))))))+T142*(IF(U142&lt;45%,0.5,IF(U142&lt;55%,0.8,IF(U142&lt;65%,0.9,IF(U142&lt;75%,1,IF(U142&lt;85%,1.1,1.2)))))))*IF(D142&gt;=0.8,6,IF(D142&lt;=0.4,1.5,3))</f>
        <v>0</v>
      </c>
      <c r="AC142" s="9"/>
      <c r="AD142" s="9"/>
      <c r="AE142" s="9"/>
      <c r="AF142" s="112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</row>
    <row r="143" ht="15.0" hidden="1" customHeight="1">
      <c r="A143" s="142">
        <f>A136+1</f>
        <v>42358</v>
      </c>
      <c r="B143" s="44" t="str">
        <f t="shared" ref="B143:C143" si="333">IF(B106="","",B106)</f>
        <v/>
      </c>
      <c r="C143" s="149" t="str">
        <f t="shared" si="333"/>
        <v/>
      </c>
      <c r="D143" s="46" t="str">
        <f t="shared" si="334"/>
        <v/>
      </c>
      <c r="E143" s="47" t="str">
        <f t="shared" si="264"/>
        <v/>
      </c>
      <c r="F143" s="48"/>
      <c r="G143" s="49"/>
      <c r="H143" s="49"/>
      <c r="I143" s="50" t="str">
        <f t="shared" si="335"/>
        <v/>
      </c>
      <c r="J143" s="48"/>
      <c r="K143" s="49"/>
      <c r="L143" s="49"/>
      <c r="M143" s="50" t="str">
        <f t="shared" si="336"/>
        <v/>
      </c>
      <c r="N143" s="48"/>
      <c r="O143" s="49"/>
      <c r="P143" s="49"/>
      <c r="Q143" s="50" t="str">
        <f t="shared" si="337"/>
        <v/>
      </c>
      <c r="R143" s="48"/>
      <c r="S143" s="49"/>
      <c r="T143" s="49"/>
      <c r="U143" s="50" t="str">
        <f t="shared" si="338"/>
        <v/>
      </c>
      <c r="V143" s="134">
        <f t="shared" si="339"/>
        <v>0</v>
      </c>
      <c r="W143" s="53">
        <f t="shared" si="340"/>
        <v>0</v>
      </c>
      <c r="X143" s="54">
        <f t="shared" si="341"/>
        <v>0</v>
      </c>
      <c r="Y143" s="137" t="str">
        <f t="shared" si="342"/>
        <v/>
      </c>
      <c r="Z143" s="53">
        <f t="shared" si="343"/>
        <v>0</v>
      </c>
      <c r="AA143" s="49">
        <f t="shared" si="344"/>
        <v>0</v>
      </c>
      <c r="AB143" s="56">
        <f t="shared" si="345"/>
        <v>0</v>
      </c>
      <c r="AC143" s="9"/>
      <c r="AD143" s="9"/>
      <c r="AE143" s="9"/>
      <c r="AF143" s="112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</row>
    <row r="144" ht="15.75" hidden="1" customHeight="1">
      <c r="A144" s="57"/>
      <c r="B144" s="44" t="str">
        <f t="shared" ref="B144:C144" si="346">IF(B107="","",B107)</f>
        <v/>
      </c>
      <c r="C144" s="149" t="str">
        <f t="shared" si="346"/>
        <v/>
      </c>
      <c r="D144" s="46" t="str">
        <f t="shared" si="334"/>
        <v/>
      </c>
      <c r="E144" s="47" t="str">
        <f t="shared" si="264"/>
        <v/>
      </c>
      <c r="F144" s="59"/>
      <c r="G144" s="60"/>
      <c r="H144" s="60"/>
      <c r="I144" s="61" t="str">
        <f t="shared" si="335"/>
        <v/>
      </c>
      <c r="J144" s="59"/>
      <c r="K144" s="60"/>
      <c r="L144" s="60"/>
      <c r="M144" s="61" t="str">
        <f t="shared" si="336"/>
        <v/>
      </c>
      <c r="N144" s="59"/>
      <c r="O144" s="60"/>
      <c r="P144" s="60"/>
      <c r="Q144" s="61" t="str">
        <f t="shared" si="337"/>
        <v/>
      </c>
      <c r="R144" s="59"/>
      <c r="S144" s="60"/>
      <c r="T144" s="60"/>
      <c r="U144" s="61" t="str">
        <f t="shared" si="338"/>
        <v/>
      </c>
      <c r="V144" s="104">
        <f t="shared" si="339"/>
        <v>0</v>
      </c>
      <c r="W144" s="64">
        <f t="shared" si="340"/>
        <v>0</v>
      </c>
      <c r="X144" s="65">
        <f t="shared" si="341"/>
        <v>0</v>
      </c>
      <c r="Y144" s="137" t="str">
        <f t="shared" si="342"/>
        <v/>
      </c>
      <c r="Z144" s="64">
        <f t="shared" si="343"/>
        <v>0</v>
      </c>
      <c r="AA144" s="60">
        <f t="shared" si="344"/>
        <v>0</v>
      </c>
      <c r="AB144" s="66">
        <f t="shared" si="345"/>
        <v>0</v>
      </c>
      <c r="AC144" s="9"/>
      <c r="AD144" s="9"/>
      <c r="AE144" s="9"/>
      <c r="AF144" s="112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</row>
    <row r="145" ht="15.75" hidden="1" customHeight="1">
      <c r="A145" s="57"/>
      <c r="B145" s="44" t="str">
        <f t="shared" ref="B145:C145" si="347">IF(B108="","",B108)</f>
        <v/>
      </c>
      <c r="C145" s="149" t="str">
        <f t="shared" si="347"/>
        <v/>
      </c>
      <c r="D145" s="46" t="str">
        <f t="shared" si="334"/>
        <v/>
      </c>
      <c r="E145" s="47" t="str">
        <f t="shared" si="264"/>
        <v/>
      </c>
      <c r="F145" s="48"/>
      <c r="G145" s="49"/>
      <c r="H145" s="49"/>
      <c r="I145" s="50" t="str">
        <f t="shared" si="335"/>
        <v/>
      </c>
      <c r="J145" s="48"/>
      <c r="K145" s="49"/>
      <c r="L145" s="49"/>
      <c r="M145" s="50" t="str">
        <f t="shared" si="336"/>
        <v/>
      </c>
      <c r="N145" s="48"/>
      <c r="O145" s="49"/>
      <c r="P145" s="49"/>
      <c r="Q145" s="50" t="str">
        <f t="shared" si="337"/>
        <v/>
      </c>
      <c r="R145" s="48"/>
      <c r="S145" s="49"/>
      <c r="T145" s="49"/>
      <c r="U145" s="50" t="str">
        <f t="shared" si="338"/>
        <v/>
      </c>
      <c r="V145" s="134">
        <f t="shared" si="339"/>
        <v>0</v>
      </c>
      <c r="W145" s="53">
        <f t="shared" si="340"/>
        <v>0</v>
      </c>
      <c r="X145" s="54">
        <f t="shared" si="341"/>
        <v>0</v>
      </c>
      <c r="Y145" s="137" t="str">
        <f t="shared" si="342"/>
        <v/>
      </c>
      <c r="Z145" s="53">
        <f t="shared" si="343"/>
        <v>0</v>
      </c>
      <c r="AA145" s="49">
        <f t="shared" si="344"/>
        <v>0</v>
      </c>
      <c r="AB145" s="56">
        <f t="shared" si="345"/>
        <v>0</v>
      </c>
      <c r="AC145" s="9"/>
      <c r="AD145" s="9"/>
      <c r="AE145" s="9"/>
      <c r="AF145" s="112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</row>
    <row r="146" ht="15.75" hidden="1" customHeight="1">
      <c r="A146" s="57"/>
      <c r="B146" s="44" t="str">
        <f t="shared" ref="B146:C146" si="348">IF(B109="","",B109)</f>
        <v/>
      </c>
      <c r="C146" s="149" t="str">
        <f t="shared" si="348"/>
        <v/>
      </c>
      <c r="D146" s="46" t="str">
        <f t="shared" si="334"/>
        <v/>
      </c>
      <c r="E146" s="47" t="str">
        <f t="shared" si="264"/>
        <v/>
      </c>
      <c r="F146" s="59"/>
      <c r="G146" s="60"/>
      <c r="H146" s="60"/>
      <c r="I146" s="61" t="str">
        <f t="shared" si="335"/>
        <v/>
      </c>
      <c r="J146" s="59"/>
      <c r="K146" s="60"/>
      <c r="L146" s="60"/>
      <c r="M146" s="61" t="str">
        <f t="shared" si="336"/>
        <v/>
      </c>
      <c r="N146" s="59"/>
      <c r="O146" s="60"/>
      <c r="P146" s="60"/>
      <c r="Q146" s="61" t="str">
        <f t="shared" si="337"/>
        <v/>
      </c>
      <c r="R146" s="59"/>
      <c r="S146" s="60"/>
      <c r="T146" s="60"/>
      <c r="U146" s="61" t="str">
        <f t="shared" si="338"/>
        <v/>
      </c>
      <c r="V146" s="104">
        <f t="shared" si="339"/>
        <v>0</v>
      </c>
      <c r="W146" s="64">
        <f t="shared" si="340"/>
        <v>0</v>
      </c>
      <c r="X146" s="62">
        <f t="shared" si="341"/>
        <v>0</v>
      </c>
      <c r="Y146" s="137" t="str">
        <f t="shared" si="342"/>
        <v/>
      </c>
      <c r="Z146" s="64">
        <f t="shared" si="343"/>
        <v>0</v>
      </c>
      <c r="AA146" s="60">
        <f t="shared" si="344"/>
        <v>0</v>
      </c>
      <c r="AB146" s="66">
        <f t="shared" si="345"/>
        <v>0</v>
      </c>
      <c r="AC146" s="9"/>
      <c r="AD146" s="9"/>
      <c r="AE146" s="9"/>
      <c r="AF146" s="112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</row>
    <row r="147" ht="15.75" hidden="1" customHeight="1">
      <c r="A147" s="57"/>
      <c r="B147" s="44" t="str">
        <f t="shared" ref="B147:C147" si="349">IF(B110="","",B110)</f>
        <v/>
      </c>
      <c r="C147" s="149" t="str">
        <f t="shared" si="349"/>
        <v/>
      </c>
      <c r="D147" s="46" t="str">
        <f t="shared" si="334"/>
        <v/>
      </c>
      <c r="E147" s="47" t="str">
        <f t="shared" si="264"/>
        <v/>
      </c>
      <c r="F147" s="48"/>
      <c r="G147" s="49"/>
      <c r="H147" s="49"/>
      <c r="I147" s="50" t="str">
        <f t="shared" si="335"/>
        <v/>
      </c>
      <c r="J147" s="48"/>
      <c r="K147" s="49"/>
      <c r="L147" s="49"/>
      <c r="M147" s="50" t="str">
        <f t="shared" si="336"/>
        <v/>
      </c>
      <c r="N147" s="48"/>
      <c r="O147" s="49"/>
      <c r="P147" s="49"/>
      <c r="Q147" s="50" t="str">
        <f t="shared" si="337"/>
        <v/>
      </c>
      <c r="R147" s="48"/>
      <c r="S147" s="49"/>
      <c r="T147" s="49"/>
      <c r="U147" s="50" t="str">
        <f t="shared" si="338"/>
        <v/>
      </c>
      <c r="V147" s="134">
        <f t="shared" si="339"/>
        <v>0</v>
      </c>
      <c r="W147" s="53">
        <f t="shared" si="340"/>
        <v>0</v>
      </c>
      <c r="X147" s="54">
        <f t="shared" si="341"/>
        <v>0</v>
      </c>
      <c r="Y147" s="137" t="str">
        <f t="shared" si="342"/>
        <v/>
      </c>
      <c r="Z147" s="53">
        <f t="shared" si="343"/>
        <v>0</v>
      </c>
      <c r="AA147" s="49">
        <f t="shared" si="344"/>
        <v>0</v>
      </c>
      <c r="AB147" s="56">
        <f t="shared" si="345"/>
        <v>0</v>
      </c>
      <c r="AC147" s="9"/>
      <c r="AD147" s="9"/>
      <c r="AE147" s="9"/>
      <c r="AF147" s="112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</row>
    <row r="148" ht="15.75" hidden="1" customHeight="1">
      <c r="A148" s="72"/>
      <c r="B148" s="73" t="str">
        <f t="shared" ref="B148:C148" si="350">IF(B111="","",B111)</f>
        <v/>
      </c>
      <c r="C148" s="150" t="str">
        <f t="shared" si="350"/>
        <v/>
      </c>
      <c r="D148" s="75">
        <f>ROUND(IFERROR((D142*(G142*H142+K142*L142+O142*P142+S142*T142)+D143*(G143*H143+K143*L143+O143*P143+S143*T143)+D144*(G144*H144+K144*L144+O144*P144+S144*T144)+D145*(G145*H145+K145*L145+O145*P145+S145*T145)+D146*(G146*H146+K146*L146+O146*P146+S146*T146)+D147*(G147*H147+K147*L147+O147*P147+S147*T147))/((G142*H142+K142*L142+O142*P142+S142*T142)+(G143*H143+K143*L143+O143*P143+S143*T143)+(G144*H144+K144*L144+O144*P144+S144*T144)+(G145*H145+K145*L145+O145*P145+S145*T145)+(G146*H146+K146*L146+O146*P146+S146*T146)+(G147*H147+K147*L147+O147*P147+S147*T147)),0),2)</f>
        <v>0</v>
      </c>
      <c r="E148" s="76" t="str">
        <f t="shared" si="264"/>
        <v/>
      </c>
      <c r="F148" s="77"/>
      <c r="G148" s="78"/>
      <c r="H148" s="78"/>
      <c r="I148" s="79"/>
      <c r="J148" s="77"/>
      <c r="K148" s="78"/>
      <c r="L148" s="78"/>
      <c r="M148" s="79"/>
      <c r="N148" s="77"/>
      <c r="O148" s="78"/>
      <c r="P148" s="78"/>
      <c r="Q148" s="79"/>
      <c r="R148" s="77"/>
      <c r="S148" s="78"/>
      <c r="T148" s="78"/>
      <c r="U148" s="79"/>
      <c r="V148" s="125">
        <f>SUM(V142:V147)</f>
        <v>0</v>
      </c>
      <c r="W148" s="82">
        <f t="shared" ref="W148:W149" si="352">IFERROR(V148/AA148,0)</f>
        <v>0</v>
      </c>
      <c r="X148" s="83">
        <f>ROUND(IFERROR(((I142*G142*H142+M142*K142*L142+Q142*O142*P142+U142*S142*T142)+(I143*G143*H143+M143*K143*L143+Q143*O143*P143+U143*S143*T143)+(I144*G144*H144+M144*K144*L144+Q144*O144*P144+U144*S144*T144)+(I145*G145*H145+M145*K145*L145+Q145*O145*P145+U145*S145*T145)+(I146*G146*H146+M146*K146*L146+Q146*O146*P146+U146*S146*T146)+(I147*G147*H147+M147*K147*L147+Q147*O147*P147+U147*S147*T147))/((G142*H142+K142*L142+O142*P142+S142*T142)+(G143*H143+K143*L143+O143*P143+S143*T143)+(G144*H144+K144*L144+O144*P144+S144*T144)+(G145*H145+K145*L145+O145*P145+S145*T145)+(G146*H146+K146*L146+O146*P146+S146*T146)+(G147*H147+K147*L147+O147*P147+S147*T147)),0),3)</f>
        <v>0</v>
      </c>
      <c r="Y148" s="84"/>
      <c r="Z148" s="82">
        <f t="shared" ref="Z148:AA148" si="351">SUM(Z142:Z147)</f>
        <v>0</v>
      </c>
      <c r="AA148" s="85">
        <f t="shared" si="351"/>
        <v>0</v>
      </c>
      <c r="AB148" s="86">
        <f>IF(SUM(AB142:AB147)=0,TIME(,0,),TIME(,SUM(AB142:AB147)+30,))</f>
        <v>0</v>
      </c>
      <c r="AC148" s="9"/>
      <c r="AD148" s="9"/>
      <c r="AE148" s="9"/>
      <c r="AF148" s="112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</row>
    <row r="149" ht="15.75" customHeight="1">
      <c r="A149" s="1" t="s">
        <v>49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3"/>
      <c r="V149" s="4">
        <f>V157+V164+V171+V178+V185</f>
        <v>13464.7</v>
      </c>
      <c r="W149" s="5">
        <f t="shared" si="352"/>
        <v>18.70097222</v>
      </c>
      <c r="X149" s="6"/>
      <c r="Y149" s="155">
        <v>0.01</v>
      </c>
      <c r="Z149" s="4" t="str">
        <f t="shared" ref="Z149:AB149" si="353">Z157+Z164+Z171+Z178+Z185</f>
        <v>#REF!</v>
      </c>
      <c r="AA149" s="4">
        <f t="shared" si="353"/>
        <v>720</v>
      </c>
      <c r="AB149" s="8">
        <f t="shared" si="353"/>
        <v>0.1722222222</v>
      </c>
      <c r="AC149" s="9"/>
      <c r="AD149" s="9"/>
      <c r="AE149" s="9"/>
      <c r="AF149" s="112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</row>
    <row r="150" ht="15.75" customHeight="1">
      <c r="A150" s="15" t="s">
        <v>1</v>
      </c>
      <c r="B150" s="16" t="s">
        <v>2</v>
      </c>
      <c r="C150" s="17" t="s">
        <v>3</v>
      </c>
      <c r="D150" s="18" t="s">
        <v>4</v>
      </c>
      <c r="E150" s="18" t="s">
        <v>5</v>
      </c>
      <c r="F150" s="16" t="s">
        <v>6</v>
      </c>
      <c r="G150" s="16" t="s">
        <v>7</v>
      </c>
      <c r="H150" s="16" t="s">
        <v>8</v>
      </c>
      <c r="I150" s="16" t="s">
        <v>9</v>
      </c>
      <c r="J150" s="16" t="s">
        <v>6</v>
      </c>
      <c r="K150" s="16" t="s">
        <v>7</v>
      </c>
      <c r="L150" s="16" t="s">
        <v>8</v>
      </c>
      <c r="M150" s="16" t="s">
        <v>9</v>
      </c>
      <c r="N150" s="16" t="s">
        <v>6</v>
      </c>
      <c r="O150" s="16" t="s">
        <v>7</v>
      </c>
      <c r="P150" s="16" t="s">
        <v>8</v>
      </c>
      <c r="Q150" s="16" t="s">
        <v>9</v>
      </c>
      <c r="R150" s="16" t="s">
        <v>6</v>
      </c>
      <c r="S150" s="16" t="s">
        <v>7</v>
      </c>
      <c r="T150" s="16" t="s">
        <v>8</v>
      </c>
      <c r="U150" s="16" t="s">
        <v>9</v>
      </c>
      <c r="V150" s="16" t="s">
        <v>10</v>
      </c>
      <c r="W150" s="18" t="s">
        <v>11</v>
      </c>
      <c r="X150" s="18" t="s">
        <v>12</v>
      </c>
      <c r="Y150" s="19" t="s">
        <v>13</v>
      </c>
      <c r="Z150" s="20" t="s">
        <v>14</v>
      </c>
      <c r="AA150" s="16" t="s">
        <v>15</v>
      </c>
      <c r="AB150" s="21" t="s">
        <v>16</v>
      </c>
      <c r="AC150" s="9"/>
      <c r="AD150" s="9"/>
      <c r="AE150" s="9"/>
      <c r="AF150" s="112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</row>
    <row r="151" ht="15.75" customHeight="1">
      <c r="A151" s="26" t="s">
        <v>17</v>
      </c>
      <c r="B151" s="27" t="s">
        <v>23</v>
      </c>
      <c r="C151" s="148" t="str">
        <f>IF(C114="","",C114)</f>
        <v>Ягодичный мост со штангой</v>
      </c>
      <c r="D151" s="29">
        <f t="shared" ref="D151:D156" si="355">D114</f>
        <v>1</v>
      </c>
      <c r="E151" s="30" t="str">
        <f t="shared" ref="E151:E185" si="356">IF(E114="","",E114)</f>
        <v/>
      </c>
      <c r="F151" s="31">
        <f t="shared" ref="F151:F156" si="357">IF(I151&lt;&gt;0,(IFERROR(IF($Y151&gt;50,MROUND($Y151*I151,2.5),IF($Y151&lt;15,MROUND($Y151*I151,0.1),MROUND($Y151*I151,1))),)),"")</f>
        <v>40</v>
      </c>
      <c r="G151" s="32">
        <v>12.0</v>
      </c>
      <c r="H151" s="32">
        <v>1.0</v>
      </c>
      <c r="I151" s="33">
        <v>0.44</v>
      </c>
      <c r="J151" s="31">
        <f t="shared" ref="J151:J156" si="358">IF(M151&lt;&gt;0,(IFERROR(IF($Y151&gt;50,MROUND($Y151*M151,2.5),IF($Y151&lt;15,MROUND($Y151*M151,0.1),MROUND($Y151*M151,1))),)),"")</f>
        <v>47.5</v>
      </c>
      <c r="K151" s="32">
        <v>15.0</v>
      </c>
      <c r="L151" s="32">
        <v>1.0</v>
      </c>
      <c r="M151" s="33">
        <v>0.52</v>
      </c>
      <c r="N151" s="31">
        <f t="shared" ref="N151:N156" si="359">IF(Q151&lt;&gt;0,(IFERROR(IF($Y151&gt;50,MROUND($Y151*Q151,2.5),IF($Y151&lt;15,MROUND($Y151*Q151,0.1),MROUND($Y151*Q151,1))),)),"")</f>
        <v>55</v>
      </c>
      <c r="O151" s="32">
        <v>20.0</v>
      </c>
      <c r="P151" s="32">
        <v>1.0</v>
      </c>
      <c r="Q151" s="33">
        <v>0.58</v>
      </c>
      <c r="R151" s="31" t="str">
        <f t="shared" ref="R151:R156" si="360">IF(U151&lt;&gt;0,(IFERROR(IF($Y151&gt;50,MROUND($Y151*U151,2.5),IF($Y151&lt;15,MROUND($Y151*U151,0.1),MROUND($Y151*U151,1))),)),"")</f>
        <v/>
      </c>
      <c r="S151" s="32"/>
      <c r="T151" s="32"/>
      <c r="U151" s="34">
        <v>0.0</v>
      </c>
      <c r="V151" s="35">
        <f t="shared" ref="V151:V156" si="361">(IF(ISNUMBER(F151),F151,1)*G151*H151+IF(ISNUMBER(J151),J151,1)*K151*L151+IF(ISNUMBER(N151),N151,1)*O151*P151+IF(ISNUMBER(R151),R151,1)*S151*T151)*IF(ISNUMBER(E151),E151,1)</f>
        <v>2292.5</v>
      </c>
      <c r="W151" s="36">
        <f t="shared" ref="W151:W156" si="362">IFERROR((IF(ISNUMBER(F151),F151,1)*G151*H151+IF(ISNUMBER(J151),J151,1)*K151*L151+IF(ISNUMBER(N151),N151,1)*O151*P151+IF(ISNUMBER(R151),R151,1)*S151*T151)*IF(ISNUMBER(E151),E151,1)/(G151*H151+K151*L151+O151*P151+S151*T151),0)</f>
        <v>48.77659574</v>
      </c>
      <c r="X151" s="34">
        <f t="shared" ref="X151:X156" si="363">ROUND(IFERROR((W151/(Y151*IF(ISNUMBER(E151),E151,1))),0),2)</f>
        <v>0.52</v>
      </c>
      <c r="Y151" s="37">
        <f t="shared" ref="Y151:Y156" si="364">IF(ISNUMBER(Y114), Y114+(Y114*$Y$149),"")</f>
        <v>93.6543609</v>
      </c>
      <c r="Z151" s="36" t="str">
        <f t="shared" ref="Z151:Z156" si="365">(IF(I151&lt;30%,0,IF(I151&lt;35%,F151*G151*H151*F!$B$33,IF(I151&lt;40%,F151*G151*H151*F!$B$38,IF(I151&lt;45%,F151*G151*H151*F!$B$43,IF(I151&lt;50%,F151*G151*H151*F!$B$48,IF(I151=50%,F151*G151*H151*F!$B$50,IF(I151=51%,F151*G151*H151*F!$B$51,IF(I151=52%,F151*G151*H151*F!$B$52,IF(I151=53%,F151*G151*H151*F!$B$53,IF(I151=54%,F151*G151*H151*F!$B$54,IF(I151=55%,F151*G151*H151*F!$B$55,IF(I151=56%,F151*G151*H151*F!$B$56,IF(I151=57%,F151*G151*H151*F!$B$57,IF(I151=58%,F151*G151*H151*F!$B$58,IF(I151=59%,F151*G151*H151*F!$B$59,IF(I151=60%,F151*G151*H151*F!$B$60,IF(I151=61%,F151*G151*H151*F!$B$61,IF(I151=62%,F151*G151*H151*F!$B$62,IF(I151=63%,F151*G151*H151*F!$B$63,IF(I151=64%,F151*G151*H151*F!$B$64,IF(I151=65%,F151*G151*H151*F!$B$65,IF(I151=66%,F151*G151*H151*F!$B$66,IF(I151=67%,F151*G151*H151*F!$B$67,IF(I151=68%,F151*G151*H151*F!$B$68,IF(I151=69%,F151*G151*H151*F!$B$69,IF(I151=70%,F151*G151*H151*F!$B$70,IF(I151=71%,F151*G151*H151*F!$B$71,IF(I151=72%,F151*G151*H151*F!$B$72,IF(I151=73%,F151*G151*H151*F!$B$73,IF(I151=74%,F151*G151*H151*F!$B$74,IF(I151=75%,F151*G151*H151*F!$B$75,IF(I151=76%,F151*G151*H151*F!$B$76,IF(I151=77%,F151*G151*H151*F!$B$77,IF(I151=78%,F151*G151*H151*F!$B$78,IF(I151=79%,F151*G151*H151*F!$B$79,IF(I151=80%,F151*G151*H151*F!$B$80,IF(I151=81%,F151*G151*H151*F!$B$81,IF(I151=82%,F151*G151*H151*F!$B$82,IF(I151=83%,F151*G151*H151*F!$B$83,IF(I151=84%,F151*G151*H151*F!$B$84,IF(I151=85%,F151*G151*H151*F!$B$85,IF(I151=86%,F151*G151*H151*F!$B$86,IF(I151=87%,F151*G151*H151*F!$B$87,IF(I151=88%,F151*G151*H151*F!$B$88,IF(I151=89%,F151*G151*H151*F!$B$89,IF(I151=90%,F151*G151*H151*F!$B$90,IF(I151=91%,F151*G151*H151*F!$B$91,IF(I151=92%,F151*G151*H151*F!$B$92,IF(I151=93%,F151*G151*H151*F!$B$93,IF(I151=94%,F151*G151*H151*F!$B$94,IF(I151=95%,F151*G151*H151*F!$B$95,IF(I151=96%,F151*G151*H151*F!$B$96,IF(I151=97%,F151*G151*H151*F!$B$97,IF(I151=98%,F151*G151*H151*F!$B$98,IF(I151=99%,F151*G151*H151*F!$B$99,IF(I151&gt;99%,F151*G151*H151*F!$B$100,))))))))))))))))))))))))))))))))))))))))))))))))))))))))+IF(M151&lt;30%,0,IF(M151&lt;35%,J151*K151*L151*F!$B$33,IF(M151&lt;40%,J151*K151*L151*F!$B$38,IF(M151&lt;45%,J151*K151*L151*F!$B$43,IF(M151&lt;50%,J151*K151*L151*F!$B$48,IF(M151=50%,J151*K151*L151*F!$B$50,IF(M151=51%,J151*K151*L151*F!$B$51,IF(M151=52%,J151*K151*L151*F!$B$52,IF(M151=53%,J151*K151*L151*F!$B$53,IF(M151=54%,J151*K151*L151*F!$B$54,IF(M151=55%,J151*K151*L151*F!$B$55,IF(M151=56%,J151*K151*L151*F!$B$56,IF(M151=57%,J151*K151*L151*F!$B$57,IF(M151=58%,J151*K151*L151*F!$B$58,IF(M151=59%,J151*K151*L151*F!$B$59,IF(M151=60%,J151*K151*L151*F!$B$60,IF(M151=61%,J151*K151*L151*F!$B$61,IF(M151=62%,J151*K151*L151*F!$B$62,IF(M151=63%,J151*K151*L151*F!$B$63,IF(M151=64%,J151*K151*L151*F!$B$64,IF(M151=65%,J151*K151*L151*F!$B$65,IF(M151=66%,J151*K151*L151*F!$B$66,IF(M151=67%,J151*K151*L151*F!$B$67,IF(M151=68%,J151*K151*L151*F!$B$68,IF(M151=69%,J151*K151*L151*F!$B$69,IF(M151=70%,J151*K151*L151*F!$B$70,IF(M151=71%,J151*K151*L151*F!$B$71,IF(M151=72%,J151*K151*L151*F!$B$72,IF(M151=73%,J151*K151*L151*F!$B$73,IF(M151=74%,J151*K151*L151*F!$B$74,IF(M151=75%,J151*K151*L151*F!$B$75,IF(M151=76%,J151*K151*L151*F!$B$76,IF(M151=77%,J151*K151*L151*F!$B$77,IF(M151=78%,J151*K151*L151*F!$B$78,IF(M151=79%,J151*K151*L151*F!$B$79,IF(M151=80%,J151*K151*L151*F!$B$80,IF(M151=81%,J151*K151*L151*F!$B$81,IF(M151=82%,J151*K151*L151*F!$B$82,IF(M151=83%,J151*K151*L151*F!$B$83,IF(M151=84%,J151*K151*L151*F!$B$84,IF(M151=85%,J151*K151*L151*F!$B$85,IF(M151=86%,J151*K151*L151*F!$B$86,IF(M151=87%,J151*K151*L151*F!$B$87,IF(M151=88%,J151*K151*L151*F!$B$88,IF(M151=89%,J151*K151*L151*F!$B$89,IF(M151=90%,J151*K151*L151*F!$B$90,IF(M151=91%,J151*K151*L151*F!$B$91,IF(M151=92%,J151*K151*L151*F!$B$92,IF(M151=93%,J151*K151*L151*F!$B$93,IF(M151=94%,J151*K151*L151*F!$B$94,IF(M151=95%,J151*K151*L151*F!$B$95,IF(M151=96%,J151*K151*L151*F!$B$96,IF(M151=97%,J151*K151*L151*F!$B$97,IF(M151=98%,J151*K151*L151*F!$B$98,IF(M151=99%,J151*K151*L151*F!$B$99,IF(M151&gt;99%,J151*K151*L151*F!$B$100,))))))))))))))))))))))))))))))))))))))))))))))))))))))))+IF(Q151&lt;30%,0,IF(Q151&lt;35%,N151*O151*P151*F!$B$33,IF(Q151&lt;40%,N151*O151*P151*F!$B$38,IF(Q151&lt;45%,N151*O151*P151*F!$B$43,IF(Q151&lt;50%,N151*O151*P151*F!$B$48,IF(Q151=50%,N151*O151*P151*F!$B$50,IF(Q151=51%,N151*O151*P151*F!$B$51,IF(Q151=52%,N151*O151*P151*F!$B$52,IF(Q151=53%,N151*O151*P151*F!$B$53,IF(Q151=54%,N151*O151*P151*F!$B$54,IF(Q151=55%,N151*O151*P151*F!$B$55,IF(Q151=56%,N151*O151*P151*F!$B$56,IF(Q151=57%,N151*O151*P151*F!$B$57,IF(Q151=58%,N151*O151*P151*F!$B$58,IF(Q151=59%,N151*O151*P151*F!$B$59,IF(Q151=60%,N151*O151*P151*F!$B$60,IF(Q151=61%,N151*O151*P151*F!$B$61,IF(Q151=62%,N151*O151*P151*F!$B$62,IF(Q151=63%,N151*O151*P151*F!$B$63,IF(Q151=64%,N151*O151*P151*F!$B$64,IF(Q151=65%,N151*O151*P151*F!$B$65,IF(Q151=66%,N151*O151*P151*F!$B$66,IF(Q151=67%,N151*O151*P151*F!$B$67,IF(Q151=68%,N151*O151*P151*F!$B$68,IF(Q151=69%,N151*O151*P151*F!$B$69,IF(Q151=70%,N151*O151*P151*F!$B$70,IF(Q151=71%,N151*O151*P151*F!$B$71,IF(Q151=72%,N151*O151*P151*F!$B$72,IF(Q151=73%,N151*O151*P151*F!$B$73,IF(Q151=74%,N151*O151*P151*F!$B$74,IF(Q151=75%,N151*O151*P151*F!$B$75,IF(Q151=76%,N151*O151*P151*F!$B$76,IF(Q151=77%,N151*O151*P151*F!$B$77,IF(Q151=78%,N151*O151*P151*F!$B$78,IF(Q151=79%,N151*O151*P151*F!$B$79,IF(Q151=80%,N151*O151*P151*F!$B$80,IF(Q151=81%,N151*O151*P151*F!$B$81,IF(Q151=82%,N151*O151*P151*F!$B$82,IF(Q151=83%,N151*O151*P151*F!$B$83,IF(Q151=84%,N151*O151*P151*F!$B$84,IF(Q151=85%,N151*O151*P151*F!$B$85,IF(Q151=86%,N151*O151*P151*F!$B$86,IF(Q151=87%,N151*O151*P151*F!$B$87,IF(Q151=88%,N151*O151*P151*F!$B$88,IF(Q151=89%,N151*O151*P151*F!$B$89,IF(Q151=90%,N151*O151*P151*F!$B$90,IF(Q151=91%,N151*O151*P151*F!$B$91,IF(Q151=92%,N151*O151*P151*F!$B$92,IF(Q151=93%,N151*O151*P151*F!$B$93,IF(Q151=94%,N151*O151*P151*F!$B$94,IF(Q151=95%,N151*O151*P151*F!$B$95,IF(Q151=96%,N151*O151*P151*F!$B$96,IF(Q151=97%,N151*O151*P151*F!$B$97,IF(Q151=98%,N151*O151*P151*F!$B$98,IF(Q151=99%,N151*O151*P151*F!$B$99,IF(Q151&gt;99%,N151*O151*P151*F!$B$100,))))))))))))))))))))))))))))))))))))))))))))))))))))))))+IF(U151&lt;30%,0,IF(U151&lt;35%,R151*S151*T151*F!$B$33,IF(U151&lt;40%,R151*S151*T151*F!$B$38,IF(U151&lt;45%,R151*S151*T151*F!$B$43,IF(U151&lt;50%,R151*S151*T151*F!$B$48,IF(U151=50%,R151*S151*T151*F!$B$50,IF(U151=51%,R151*S151*T151*F!$B$51,IF(U151=52%,R151*S151*T151*F!$B$52,IF(U151=53%,R151*S151*T151*F!$B$53,IF(U151=54%,R151*S151*T151*F!$B$54,IF(U151=55%,R151*S151*T151*F!$B$55,IF(U151=56%,R151*S151*T151*F!$B$56,IF(U151=57%,R151*S151*T151*F!$B$57,IF(U151=58%,R151*S151*T151*F!$B$58,IF(U151=59%,R151*S151*T151*F!$B$59,IF(U151=60%,R151*S151*T151*F!$B$60,IF(U151=61%,R151*S151*T151*F!$B$61,IF(U151=62%,R151*S151*T151*F!$B$62,IF(U151=63%,R151*S151*T151*F!$B$63,IF(U151=64%,R151*S151*T151*F!$B$64,IF(U151=65%,R151*S151*T151*F!$B$65,IF(U151=66%,R151*S151*T151*F!$B$66,IF(U151=67%,R151*S151*T151*F!$B$67,IF(U151=68%,R151*S151*T151*F!$B$68,IF(U151=69%,R151*S151*T151*F!$B$69,IF(U151=70%,R151*S151*T151*F!$B$70,IF(U151=71%,R151*S151*T151*F!$B$71,IF(U151=72%,R151*S151*T151*F!$B$72,IF(U151=73%,R151*S151*T151*F!$B$73,IF(U151=74%,R151*S151*T151*F!$B$74,IF(U151=75%,R151*S151*T151*F!$B$75,IF(U151=76%,R151*S151*T151*F!$B$76,IF(U151=77%,R151*S151*T151*F!$B$77,IF(U151=78%,R151*S151*T151*F!$B$78,IF(U151=79%,R151*S151*T151*F!$B$79,IF(U151=80%,R151*S151*T151*F!$B$80,IF(U151=81%,R151*S151*T151*F!$B$81,IF(U151=82%,R151*S151*T151*F!$B$82,IF(U151=83%,R151*S151*T151*F!$B$83,IF(U151=84%,R151*S151*T151*F!$B$84,IF(U151=85%,R151*S151*T151*F!$B$85,IF(U151=86%,R151*S151*T151*F!$B$86,IF(U151=87%,R151*S151*T151*F!$B$87,IF(U151=88%,R151*S151*T151*F!$B$88,IF(U151=89%,R151*S151*T151*F!$B$89,IF(U151=90%,R151*S151*T151*F!$B$90,IF(U151=91%,R151*S151*T151*F!$B$91,IF(U151=92%,R151*S151*T151*F!$B$92,IF(U151=93%,R151*S151*T151*F!$B$93,IF(U151=94%,R151*S151*T151*F!$B$94,IF(U151=95%,R151*S151*T151*F!$B$95,IF(U151=96%,R151*S151*T151*F!$B$96,IF(U151=97%,R151*S151*T151*F!$B$97,IF(U151=98%,R151*S151*T151*F!$B$98,IF(U151=99%,R151*S151*T151*F!$B$99,IF(U151&gt;99%,R151*S151*T151*F!$B$100)))))))))))))))))))))))))))))))))))))))))))))))))))))))))*IF(ISNUMBER(E151),E151,1)*IF(ISNUMBER(D151),D151,1)</f>
        <v>#REF!</v>
      </c>
      <c r="AA151" s="32">
        <f t="shared" ref="AA151:AA156" si="366">G151*H151+K151*L151+O151*P151+S151*T151</f>
        <v>47</v>
      </c>
      <c r="AB151" s="38">
        <f t="shared" ref="AB151:AB156" si="367">(H151*(IF(I151&lt;45%,0.5,IF(I151&lt;55%,0.8,IF(I151&lt;65%,0.9,IF(I151&lt;75%,1,IF(I151&lt;85%,1.1,1.2))))))+L151*(IF(M151&lt;45%,0.5,IF(M151&lt;55%,0.8,IF(M151&lt;65%,0.9,IF(M151&lt;75%,1,IF(M151&lt;85%,1.1,1.2))))))+P151*(IF(Q151&lt;45%,0.5,IF(Q151&lt;55%,0.8,IF(Q151&lt;65%,0.9,IF(Q151&lt;75%,1,IF(Q151&lt;85%,1.1,1.2))))))+T151*(IF(U151&lt;45%,0.5,IF(U151&lt;55%,0.8,IF(U151&lt;65%,0.9,IF(U151&lt;75%,1,IF(U151&lt;85%,1.1,1.2)))))))*IF(D151&gt;=0.8,6,IF(D151&lt;=0.4,1.5,3))</f>
        <v>13.2</v>
      </c>
      <c r="AC151" s="9"/>
      <c r="AD151" s="9"/>
      <c r="AE151" s="9"/>
      <c r="AF151" s="112"/>
      <c r="AG151" s="9"/>
      <c r="AH151" s="9"/>
      <c r="AI151" s="9"/>
      <c r="AJ151" s="9"/>
      <c r="AK151" s="9"/>
      <c r="AL151" s="9"/>
      <c r="AM151" s="9"/>
      <c r="AN151" s="180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</row>
    <row r="152" ht="14.25" customHeight="1">
      <c r="A152" s="43">
        <f>A115+7</f>
        <v>42359</v>
      </c>
      <c r="B152" s="44" t="str">
        <f t="shared" ref="B152:C152" si="354">IF(B115="","",B115)</f>
        <v>Легкая</v>
      </c>
      <c r="C152" s="149" t="str">
        <f t="shared" si="354"/>
        <v>Болгарские выпады</v>
      </c>
      <c r="D152" s="46">
        <f t="shared" si="355"/>
        <v>0.3</v>
      </c>
      <c r="E152" s="47" t="str">
        <f t="shared" si="356"/>
        <v/>
      </c>
      <c r="F152" s="48">
        <f t="shared" si="357"/>
        <v>13</v>
      </c>
      <c r="G152" s="49">
        <v>10.0</v>
      </c>
      <c r="H152" s="49">
        <v>4.0</v>
      </c>
      <c r="I152" s="50">
        <v>0.41</v>
      </c>
      <c r="J152" s="48" t="str">
        <f t="shared" si="358"/>
        <v/>
      </c>
      <c r="K152" s="49"/>
      <c r="L152" s="49"/>
      <c r="M152" s="50">
        <v>0.0</v>
      </c>
      <c r="N152" s="48" t="str">
        <f t="shared" si="359"/>
        <v/>
      </c>
      <c r="O152" s="49"/>
      <c r="P152" s="49"/>
      <c r="Q152" s="50">
        <v>0.0</v>
      </c>
      <c r="R152" s="48" t="str">
        <f t="shared" si="360"/>
        <v/>
      </c>
      <c r="S152" s="49"/>
      <c r="T152" s="49"/>
      <c r="U152" s="51">
        <v>0.0</v>
      </c>
      <c r="V152" s="52">
        <f t="shared" si="361"/>
        <v>520</v>
      </c>
      <c r="W152" s="53">
        <f t="shared" si="362"/>
        <v>13</v>
      </c>
      <c r="X152" s="54">
        <f t="shared" si="363"/>
        <v>0.42</v>
      </c>
      <c r="Y152" s="137">
        <f t="shared" si="364"/>
        <v>31.2181203</v>
      </c>
      <c r="Z152" s="53" t="str">
        <f t="shared" si="365"/>
        <v>#REF!</v>
      </c>
      <c r="AA152" s="49">
        <f t="shared" si="366"/>
        <v>40</v>
      </c>
      <c r="AB152" s="56">
        <f t="shared" si="367"/>
        <v>3</v>
      </c>
      <c r="AC152" s="9"/>
      <c r="AD152" s="9"/>
      <c r="AE152" s="9"/>
      <c r="AF152" s="112"/>
      <c r="AG152" s="9"/>
      <c r="AH152" s="9"/>
      <c r="AI152" s="9"/>
      <c r="AJ152" s="9"/>
      <c r="AK152" s="9"/>
      <c r="AL152" s="9"/>
      <c r="AM152" s="9"/>
      <c r="AN152" s="180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</row>
    <row r="153" ht="15.75" customHeight="1">
      <c r="A153" s="57"/>
      <c r="B153" s="44" t="str">
        <f t="shared" ref="B153:C153" si="368">IF(B116="","",B116)</f>
        <v>Легкая</v>
      </c>
      <c r="C153" s="149" t="str">
        <f t="shared" si="368"/>
        <v>Разведение ног в тренажёре</v>
      </c>
      <c r="D153" s="46">
        <f t="shared" si="355"/>
        <v>0.3</v>
      </c>
      <c r="E153" s="47">
        <f t="shared" si="356"/>
        <v>5</v>
      </c>
      <c r="F153" s="59">
        <f t="shared" si="357"/>
        <v>3.9</v>
      </c>
      <c r="G153" s="60">
        <v>12.0</v>
      </c>
      <c r="H153" s="60">
        <v>4.0</v>
      </c>
      <c r="I153" s="61">
        <v>0.37</v>
      </c>
      <c r="J153" s="59" t="str">
        <f t="shared" si="358"/>
        <v/>
      </c>
      <c r="K153" s="60"/>
      <c r="L153" s="60"/>
      <c r="M153" s="61">
        <v>0.0</v>
      </c>
      <c r="N153" s="59" t="str">
        <f t="shared" si="359"/>
        <v/>
      </c>
      <c r="O153" s="60"/>
      <c r="P153" s="60"/>
      <c r="Q153" s="61">
        <v>0.0</v>
      </c>
      <c r="R153" s="59" t="str">
        <f t="shared" si="360"/>
        <v/>
      </c>
      <c r="S153" s="60"/>
      <c r="T153" s="60"/>
      <c r="U153" s="62">
        <v>0.0</v>
      </c>
      <c r="V153" s="63">
        <f t="shared" si="361"/>
        <v>936</v>
      </c>
      <c r="W153" s="64">
        <f t="shared" si="362"/>
        <v>19.5</v>
      </c>
      <c r="X153" s="65">
        <f t="shared" si="363"/>
        <v>0.37</v>
      </c>
      <c r="Y153" s="137">
        <f t="shared" si="364"/>
        <v>10.4060401</v>
      </c>
      <c r="Z153" s="64" t="str">
        <f t="shared" si="365"/>
        <v>#REF!</v>
      </c>
      <c r="AA153" s="60">
        <f t="shared" si="366"/>
        <v>48</v>
      </c>
      <c r="AB153" s="66">
        <f t="shared" si="367"/>
        <v>3</v>
      </c>
      <c r="AC153" s="9"/>
      <c r="AD153" s="9"/>
      <c r="AE153" s="9"/>
      <c r="AF153" s="112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</row>
    <row r="154" ht="15.75" customHeight="1">
      <c r="A154" s="57"/>
      <c r="B154" s="44" t="str">
        <f t="shared" ref="B154:C154" si="369">IF(B117="","",B117)</f>
        <v>Средняя</v>
      </c>
      <c r="C154" s="149" t="str">
        <f t="shared" si="369"/>
        <v>Присед</v>
      </c>
      <c r="D154" s="46">
        <f t="shared" si="355"/>
        <v>1.2</v>
      </c>
      <c r="E154" s="47" t="str">
        <f t="shared" si="356"/>
        <v/>
      </c>
      <c r="F154" s="48">
        <f t="shared" si="357"/>
        <v>25</v>
      </c>
      <c r="G154" s="49">
        <v>12.0</v>
      </c>
      <c r="H154" s="49">
        <v>1.0</v>
      </c>
      <c r="I154" s="50">
        <v>0.5</v>
      </c>
      <c r="J154" s="67">
        <f t="shared" si="358"/>
        <v>30</v>
      </c>
      <c r="K154" s="49">
        <v>10.0</v>
      </c>
      <c r="L154" s="49">
        <v>2.0</v>
      </c>
      <c r="M154" s="50">
        <v>0.6</v>
      </c>
      <c r="N154" s="48" t="str">
        <f t="shared" si="359"/>
        <v/>
      </c>
      <c r="O154" s="49"/>
      <c r="P154" s="49"/>
      <c r="Q154" s="50">
        <v>0.0</v>
      </c>
      <c r="R154" s="48" t="str">
        <f t="shared" si="360"/>
        <v/>
      </c>
      <c r="S154" s="49"/>
      <c r="T154" s="49"/>
      <c r="U154" s="51">
        <v>0.0</v>
      </c>
      <c r="V154" s="52">
        <f t="shared" si="361"/>
        <v>900</v>
      </c>
      <c r="W154" s="53">
        <f t="shared" si="362"/>
        <v>28.125</v>
      </c>
      <c r="X154" s="54">
        <f t="shared" si="363"/>
        <v>0.54</v>
      </c>
      <c r="Y154" s="137">
        <f t="shared" si="364"/>
        <v>52.0302005</v>
      </c>
      <c r="Z154" s="53" t="str">
        <f t="shared" si="365"/>
        <v>#REF!</v>
      </c>
      <c r="AA154" s="49">
        <f t="shared" si="366"/>
        <v>32</v>
      </c>
      <c r="AB154" s="56">
        <f t="shared" si="367"/>
        <v>15.6</v>
      </c>
      <c r="AC154" s="9"/>
      <c r="AD154" s="9"/>
      <c r="AE154" s="9"/>
      <c r="AF154" s="112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</row>
    <row r="155" ht="15.75" customHeight="1">
      <c r="A155" s="57"/>
      <c r="B155" s="44" t="s">
        <v>18</v>
      </c>
      <c r="C155" s="149" t="str">
        <f>IF(C118="","",C118)</f>
        <v>Жим гантелей вверх</v>
      </c>
      <c r="D155" s="46">
        <f t="shared" si="355"/>
        <v>1.2</v>
      </c>
      <c r="E155" s="47">
        <f t="shared" si="356"/>
        <v>2</v>
      </c>
      <c r="F155" s="59">
        <f t="shared" si="357"/>
        <v>3.3</v>
      </c>
      <c r="G155" s="60">
        <v>12.0</v>
      </c>
      <c r="H155" s="60">
        <v>2.0</v>
      </c>
      <c r="I155" s="61">
        <v>0.45</v>
      </c>
      <c r="J155" s="59">
        <f t="shared" si="358"/>
        <v>4.4</v>
      </c>
      <c r="K155" s="60">
        <v>12.0</v>
      </c>
      <c r="L155" s="60">
        <v>2.0</v>
      </c>
      <c r="M155" s="61">
        <v>0.6</v>
      </c>
      <c r="N155" s="59" t="str">
        <f t="shared" si="359"/>
        <v/>
      </c>
      <c r="O155" s="60"/>
      <c r="P155" s="60"/>
      <c r="Q155" s="61">
        <v>0.0</v>
      </c>
      <c r="R155" s="59" t="str">
        <f t="shared" si="360"/>
        <v/>
      </c>
      <c r="S155" s="60"/>
      <c r="T155" s="60"/>
      <c r="U155" s="62">
        <v>0.0</v>
      </c>
      <c r="V155" s="63">
        <f t="shared" si="361"/>
        <v>369.6</v>
      </c>
      <c r="W155" s="64">
        <f t="shared" si="362"/>
        <v>7.7</v>
      </c>
      <c r="X155" s="62">
        <f t="shared" si="363"/>
        <v>0.53</v>
      </c>
      <c r="Y155" s="137">
        <f t="shared" si="364"/>
        <v>7.28422807</v>
      </c>
      <c r="Z155" s="64" t="str">
        <f t="shared" si="365"/>
        <v>#REF!</v>
      </c>
      <c r="AA155" s="60">
        <f t="shared" si="366"/>
        <v>48</v>
      </c>
      <c r="AB155" s="66">
        <f t="shared" si="367"/>
        <v>20.4</v>
      </c>
      <c r="AC155" s="9"/>
      <c r="AD155" s="9"/>
      <c r="AE155" s="9"/>
      <c r="AF155" s="112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</row>
    <row r="156" ht="15.75" customHeight="1">
      <c r="A156" s="57"/>
      <c r="B156" s="44" t="str">
        <f t="shared" ref="B156:C156" si="370">IF(B119="","",B119)</f>
        <v>Легкая</v>
      </c>
      <c r="C156" s="149" t="str">
        <f t="shared" si="370"/>
        <v>Разведение гантелей в стороны</v>
      </c>
      <c r="D156" s="46">
        <f t="shared" si="355"/>
        <v>0.4</v>
      </c>
      <c r="E156" s="47">
        <f t="shared" si="356"/>
        <v>2</v>
      </c>
      <c r="F156" s="48">
        <f t="shared" si="357"/>
        <v>2.5</v>
      </c>
      <c r="G156" s="49">
        <v>10.0</v>
      </c>
      <c r="H156" s="49">
        <v>4.0</v>
      </c>
      <c r="I156" s="50">
        <v>0.4</v>
      </c>
      <c r="J156" s="48" t="str">
        <f t="shared" si="358"/>
        <v/>
      </c>
      <c r="K156" s="49"/>
      <c r="L156" s="49"/>
      <c r="M156" s="50">
        <v>0.0</v>
      </c>
      <c r="N156" s="48" t="str">
        <f t="shared" si="359"/>
        <v/>
      </c>
      <c r="O156" s="49"/>
      <c r="P156" s="49"/>
      <c r="Q156" s="50">
        <v>0.0</v>
      </c>
      <c r="R156" s="48" t="str">
        <f t="shared" si="360"/>
        <v/>
      </c>
      <c r="S156" s="49"/>
      <c r="T156" s="49"/>
      <c r="U156" s="51">
        <v>0.0</v>
      </c>
      <c r="V156" s="52">
        <f t="shared" si="361"/>
        <v>200</v>
      </c>
      <c r="W156" s="53">
        <f t="shared" si="362"/>
        <v>5</v>
      </c>
      <c r="X156" s="54">
        <f t="shared" si="363"/>
        <v>0.4</v>
      </c>
      <c r="Y156" s="137">
        <f t="shared" si="364"/>
        <v>6.24362406</v>
      </c>
      <c r="Z156" s="53" t="str">
        <f t="shared" si="365"/>
        <v>#REF!</v>
      </c>
      <c r="AA156" s="49">
        <f t="shared" si="366"/>
        <v>40</v>
      </c>
      <c r="AB156" s="56">
        <f t="shared" si="367"/>
        <v>3</v>
      </c>
      <c r="AC156" s="9"/>
      <c r="AD156" s="9"/>
      <c r="AE156" s="9"/>
      <c r="AF156" s="112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</row>
    <row r="157" ht="15.75" customHeight="1">
      <c r="A157" s="72"/>
      <c r="B157" s="73" t="str">
        <f t="shared" ref="B157:C157" si="371">IF(B120="","",B120)</f>
        <v/>
      </c>
      <c r="C157" s="174" t="str">
        <f t="shared" si="371"/>
        <v>Разгибание рук на блоке</v>
      </c>
      <c r="D157" s="75">
        <f>ROUND(IFERROR((D151*(G151*H151+K151*L151+O151*P151+S151*T151)+D152*(G152*H152+K152*L152+O152*P152+S152*T152)+D153*(G153*H153+K153*L153+O153*P153+S153*T153)+D154*(G154*H154+K154*L154+O154*P154+S154*T154)+D155*(G155*H155+K155*L155+O155*P155+S155*T155)+D156*(G156*H156+K156*L156+O156*P156+S156*T156))/((G151*H151+K151*L151+O151*P151+S151*T151)+(G152*H152+K152*L152+O152*P152+S152*T152)+(G153*H153+K153*L153+O153*P153+S153*T153)+(G154*H154+K154*L154+O154*P154+S154*T154)+(G155*H155+K155*L155+O155*P155+S155*T155)+(G156*H156+K156*L156+O156*P156+S156*T156)),0),2)</f>
        <v>0.73</v>
      </c>
      <c r="E157" s="76" t="str">
        <f t="shared" si="356"/>
        <v/>
      </c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80"/>
      <c r="V157" s="81">
        <f>SUM(V151:V156)</f>
        <v>5218.1</v>
      </c>
      <c r="W157" s="82">
        <f>IFERROR(V157/AA157,0)</f>
        <v>20.46313725</v>
      </c>
      <c r="X157" s="83">
        <f>ROUND(IFERROR(((I151*G151*H151+M151*K151*L151+Q151*O151*P151+U151*S151*T151)+(I152*G152*H152+M152*K152*L152+Q152*O152*P152+U152*S152*T152)+(I153*G153*H153+M153*K153*L153+Q153*O153*P153+U153*S153*T153)+(I154*G154*H154+M154*K154*L154+Q154*O154*P154+U154*S154*T154)+(I155*G155*H155+M155*K155*L155+Q155*O155*P155+U155*S155*T155)+(I156*G156*H156+M156*K156*L156+Q156*O156*P156+U156*S156*T156))/((G151*H151+K151*L151+O151*P151+S151*T151)+(G152*H152+K152*L152+O152*P152+S152*T152)+(G153*H153+K153*L153+O153*P153+S153*T153)+(G154*H154+K154*L154+O154*P154+S154*T154)+(G155*H155+K155*L155+O155*P155+S155*T155)+(G156*H156+K156*L156+O156*P156+S156*T156)),0),3)</f>
        <v>0.463</v>
      </c>
      <c r="Y157" s="84"/>
      <c r="Z157" s="82" t="str">
        <f t="shared" ref="Z157:AA157" si="372">SUM(Z151:Z156)</f>
        <v>#REF!</v>
      </c>
      <c r="AA157" s="85">
        <f t="shared" si="372"/>
        <v>255</v>
      </c>
      <c r="AB157" s="86">
        <f>IF(SUM(AB151:AB156)=0,TIME(,0,),TIME(,SUM(AB151:AB156)+30,))</f>
        <v>0.06111111111</v>
      </c>
      <c r="AC157" s="9"/>
      <c r="AD157" s="9"/>
      <c r="AE157" s="9"/>
      <c r="AF157" s="112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</row>
    <row r="158" ht="15.75" customHeight="1">
      <c r="A158" s="88" t="s">
        <v>28</v>
      </c>
      <c r="B158" s="89" t="s">
        <v>18</v>
      </c>
      <c r="C158" s="141" t="str">
        <f t="shared" ref="C158:C159" si="373">IF(C121="","",C121)</f>
        <v>Румынская тяга</v>
      </c>
      <c r="D158" s="29">
        <f t="shared" ref="D158:D163" si="374">D121</f>
        <v>1</v>
      </c>
      <c r="E158" s="91" t="str">
        <f t="shared" si="356"/>
        <v/>
      </c>
      <c r="F158" s="92">
        <f t="shared" ref="F158:F163" si="375">IF(I158&lt;&gt;0,(IFERROR(IF($Y158&gt;50,MROUND($Y158*I158,2.5),IF($Y158&lt;15,MROUND($Y158*I158,0.1),MROUND($Y158*I158,1))),)),"")</f>
        <v>27.5</v>
      </c>
      <c r="G158" s="93">
        <v>12.0</v>
      </c>
      <c r="H158" s="93">
        <v>4.0</v>
      </c>
      <c r="I158" s="94">
        <v>0.5</v>
      </c>
      <c r="J158" s="92" t="str">
        <f t="shared" ref="J158:J163" si="376">IF(M158&lt;&gt;0,(IFERROR(IF($Y158&gt;50,MROUND($Y158*M158,2.5),IF($Y158&lt;15,MROUND($Y158*M158,0.1),MROUND($Y158*M158,1))),)),"")</f>
        <v/>
      </c>
      <c r="K158" s="93"/>
      <c r="L158" s="93"/>
      <c r="M158" s="94">
        <v>0.0</v>
      </c>
      <c r="N158" s="92" t="str">
        <f t="shared" ref="N158:N163" si="377">IF(Q158&lt;&gt;0,(IFERROR(IF($Y158&gt;50,MROUND($Y158*Q158,2.5),IF($Y158&lt;15,MROUND($Y158*Q158,0.1),MROUND($Y158*Q158,1))),)),"")</f>
        <v/>
      </c>
      <c r="O158" s="93"/>
      <c r="P158" s="93"/>
      <c r="Q158" s="94">
        <v>0.0</v>
      </c>
      <c r="R158" s="92" t="str">
        <f t="shared" ref="R158:R163" si="378">IF(U158&lt;&gt;0,(IFERROR(IF($Y158&gt;50,MROUND($Y158*U158,2.5),IF($Y158&lt;15,MROUND($Y158*U158,0.1),MROUND($Y158*U158,1))),)),"")</f>
        <v/>
      </c>
      <c r="S158" s="93"/>
      <c r="T158" s="93"/>
      <c r="U158" s="94">
        <v>0.0</v>
      </c>
      <c r="V158" s="95">
        <f t="shared" ref="V158:V163" si="379">(IF(ISNUMBER(F158),F158,1)*G158*H158+IF(ISNUMBER(J158),J158,1)*K158*L158+IF(ISNUMBER(N158),N158,1)*O158*P158+IF(ISNUMBER(R158),R158,1)*S158*T158)*IF(ISNUMBER(E158),E158,1)</f>
        <v>1320</v>
      </c>
      <c r="W158" s="96">
        <f t="shared" ref="W158:W163" si="380">IFERROR((IF(ISNUMBER(F158),F158,1)*G158*H158+IF(ISNUMBER(J158),J158,1)*K158*L158+IF(ISNUMBER(N158),N158,1)*O158*P158+IF(ISNUMBER(R158),R158,1)*S158*T158)*IF(ISNUMBER(E158),E158,1)/(G158*H158+K158*L158+O158*P158+S158*T158),0)</f>
        <v>27.5</v>
      </c>
      <c r="X158" s="97">
        <f t="shared" ref="X158:X163" si="381">ROUND(IFERROR((W158/(Y158*IF(ISNUMBER(E158),E158,1))),0),2)</f>
        <v>0.48</v>
      </c>
      <c r="Y158" s="37">
        <f t="shared" ref="Y158:Y163" si="382">IF(ISNUMBER(Y121), Y121+(Y121*$Y$149),"")</f>
        <v>57.23322055</v>
      </c>
      <c r="Z158" s="96" t="str">
        <f t="shared" ref="Z158:Z163" si="383">(IF(I158&lt;30%,0,IF(I158&lt;35%,F158*G158*H158*F!$B$33,IF(I158&lt;40%,F158*G158*H158*F!$B$38,IF(I158&lt;45%,F158*G158*H158*F!$B$43,IF(I158&lt;50%,F158*G158*H158*F!$B$48,IF(I158=50%,F158*G158*H158*F!$B$50,IF(I158=51%,F158*G158*H158*F!$B$51,IF(I158=52%,F158*G158*H158*F!$B$52,IF(I158=53%,F158*G158*H158*F!$B$53,IF(I158=54%,F158*G158*H158*F!$B$54,IF(I158=55%,F158*G158*H158*F!$B$55,IF(I158=56%,F158*G158*H158*F!$B$56,IF(I158=57%,F158*G158*H158*F!$B$57,IF(I158=58%,F158*G158*H158*F!$B$58,IF(I158=59%,F158*G158*H158*F!$B$59,IF(I158=60%,F158*G158*H158*F!$B$60,IF(I158=61%,F158*G158*H158*F!$B$61,IF(I158=62%,F158*G158*H158*F!$B$62,IF(I158=63%,F158*G158*H158*F!$B$63,IF(I158=64%,F158*G158*H158*F!$B$64,IF(I158=65%,F158*G158*H158*F!$B$65,IF(I158=66%,F158*G158*H158*F!$B$66,IF(I158=67%,F158*G158*H158*F!$B$67,IF(I158=68%,F158*G158*H158*F!$B$68,IF(I158=69%,F158*G158*H158*F!$B$69,IF(I158=70%,F158*G158*H158*F!$B$70,IF(I158=71%,F158*G158*H158*F!$B$71,IF(I158=72%,F158*G158*H158*F!$B$72,IF(I158=73%,F158*G158*H158*F!$B$73,IF(I158=74%,F158*G158*H158*F!$B$74,IF(I158=75%,F158*G158*H158*F!$B$75,IF(I158=76%,F158*G158*H158*F!$B$76,IF(I158=77%,F158*G158*H158*F!$B$77,IF(I158=78%,F158*G158*H158*F!$B$78,IF(I158=79%,F158*G158*H158*F!$B$79,IF(I158=80%,F158*G158*H158*F!$B$80,IF(I158=81%,F158*G158*H158*F!$B$81,IF(I158=82%,F158*G158*H158*F!$B$82,IF(I158=83%,F158*G158*H158*F!$B$83,IF(I158=84%,F158*G158*H158*F!$B$84,IF(I158=85%,F158*G158*H158*F!$B$85,IF(I158=86%,F158*G158*H158*F!$B$86,IF(I158=87%,F158*G158*H158*F!$B$87,IF(I158=88%,F158*G158*H158*F!$B$88,IF(I158=89%,F158*G158*H158*F!$B$89,IF(I158=90%,F158*G158*H158*F!$B$90,IF(I158=91%,F158*G158*H158*F!$B$91,IF(I158=92%,F158*G158*H158*F!$B$92,IF(I158=93%,F158*G158*H158*F!$B$93,IF(I158=94%,F158*G158*H158*F!$B$94,IF(I158=95%,F158*G158*H158*F!$B$95,IF(I158=96%,F158*G158*H158*F!$B$96,IF(I158=97%,F158*G158*H158*F!$B$97,IF(I158=98%,F158*G158*H158*F!$B$98,IF(I158=99%,F158*G158*H158*F!$B$99,IF(I158&gt;99%,F158*G158*H158*F!$B$100,))))))))))))))))))))))))))))))))))))))))))))))))))))))))+IF(M158&lt;30%,0,IF(M158&lt;35%,J158*K158*L158*F!$B$33,IF(M158&lt;40%,J158*K158*L158*F!$B$38,IF(M158&lt;45%,J158*K158*L158*F!$B$43,IF(M158&lt;50%,J158*K158*L158*F!$B$48,IF(M158=50%,J158*K158*L158*F!$B$50,IF(M158=51%,J158*K158*L158*F!$B$51,IF(M158=52%,J158*K158*L158*F!$B$52,IF(M158=53%,J158*K158*L158*F!$B$53,IF(M158=54%,J158*K158*L158*F!$B$54,IF(M158=55%,J158*K158*L158*F!$B$55,IF(M158=56%,J158*K158*L158*F!$B$56,IF(M158=57%,J158*K158*L158*F!$B$57,IF(M158=58%,J158*K158*L158*F!$B$58,IF(M158=59%,J158*K158*L158*F!$B$59,IF(M158=60%,J158*K158*L158*F!$B$60,IF(M158=61%,J158*K158*L158*F!$B$61,IF(M158=62%,J158*K158*L158*F!$B$62,IF(M158=63%,J158*K158*L158*F!$B$63,IF(M158=64%,J158*K158*L158*F!$B$64,IF(M158=65%,J158*K158*L158*F!$B$65,IF(M158=66%,J158*K158*L158*F!$B$66,IF(M158=67%,J158*K158*L158*F!$B$67,IF(M158=68%,J158*K158*L158*F!$B$68,IF(M158=69%,J158*K158*L158*F!$B$69,IF(M158=70%,J158*K158*L158*F!$B$70,IF(M158=71%,J158*K158*L158*F!$B$71,IF(M158=72%,J158*K158*L158*F!$B$72,IF(M158=73%,J158*K158*L158*F!$B$73,IF(M158=74%,J158*K158*L158*F!$B$74,IF(M158=75%,J158*K158*L158*F!$B$75,IF(M158=76%,J158*K158*L158*F!$B$76,IF(M158=77%,J158*K158*L158*F!$B$77,IF(M158=78%,J158*K158*L158*F!$B$78,IF(M158=79%,J158*K158*L158*F!$B$79,IF(M158=80%,J158*K158*L158*F!$B$80,IF(M158=81%,J158*K158*L158*F!$B$81,IF(M158=82%,J158*K158*L158*F!$B$82,IF(M158=83%,J158*K158*L158*F!$B$83,IF(M158=84%,J158*K158*L158*F!$B$84,IF(M158=85%,J158*K158*L158*F!$B$85,IF(M158=86%,J158*K158*L158*F!$B$86,IF(M158=87%,J158*K158*L158*F!$B$87,IF(M158=88%,J158*K158*L158*F!$B$88,IF(M158=89%,J158*K158*L158*F!$B$89,IF(M158=90%,J158*K158*L158*F!$B$90,IF(M158=91%,J158*K158*L158*F!$B$91,IF(M158=92%,J158*K158*L158*F!$B$92,IF(M158=93%,J158*K158*L158*F!$B$93,IF(M158=94%,J158*K158*L158*F!$B$94,IF(M158=95%,J158*K158*L158*F!$B$95,IF(M158=96%,J158*K158*L158*F!$B$96,IF(M158=97%,J158*K158*L158*F!$B$97,IF(M158=98%,J158*K158*L158*F!$B$98,IF(M158=99%,J158*K158*L158*F!$B$99,IF(M158&gt;99%,J158*K158*L158*F!$B$100,))))))))))))))))))))))))))))))))))))))))))))))))))))))))+IF(Q158&lt;30%,0,IF(Q158&lt;35%,N158*O158*P158*F!$B$33,IF(Q158&lt;40%,N158*O158*P158*F!$B$38,IF(Q158&lt;45%,N158*O158*P158*F!$B$43,IF(Q158&lt;50%,N158*O158*P158*F!$B$48,IF(Q158=50%,N158*O158*P158*F!$B$50,IF(Q158=51%,N158*O158*P158*F!$B$51,IF(Q158=52%,N158*O158*P158*F!$B$52,IF(Q158=53%,N158*O158*P158*F!$B$53,IF(Q158=54%,N158*O158*P158*F!$B$54,IF(Q158=55%,N158*O158*P158*F!$B$55,IF(Q158=56%,N158*O158*P158*F!$B$56,IF(Q158=57%,N158*O158*P158*F!$B$57,IF(Q158=58%,N158*O158*P158*F!$B$58,IF(Q158=59%,N158*O158*P158*F!$B$59,IF(Q158=60%,N158*O158*P158*F!$B$60,IF(Q158=61%,N158*O158*P158*F!$B$61,IF(Q158=62%,N158*O158*P158*F!$B$62,IF(Q158=63%,N158*O158*P158*F!$B$63,IF(Q158=64%,N158*O158*P158*F!$B$64,IF(Q158=65%,N158*O158*P158*F!$B$65,IF(Q158=66%,N158*O158*P158*F!$B$66,IF(Q158=67%,N158*O158*P158*F!$B$67,IF(Q158=68%,N158*O158*P158*F!$B$68,IF(Q158=69%,N158*O158*P158*F!$B$69,IF(Q158=70%,N158*O158*P158*F!$B$70,IF(Q158=71%,N158*O158*P158*F!$B$71,IF(Q158=72%,N158*O158*P158*F!$B$72,IF(Q158=73%,N158*O158*P158*F!$B$73,IF(Q158=74%,N158*O158*P158*F!$B$74,IF(Q158=75%,N158*O158*P158*F!$B$75,IF(Q158=76%,N158*O158*P158*F!$B$76,IF(Q158=77%,N158*O158*P158*F!$B$77,IF(Q158=78%,N158*O158*P158*F!$B$78,IF(Q158=79%,N158*O158*P158*F!$B$79,IF(Q158=80%,N158*O158*P158*F!$B$80,IF(Q158=81%,N158*O158*P158*F!$B$81,IF(Q158=82%,N158*O158*P158*F!$B$82,IF(Q158=83%,N158*O158*P158*F!$B$83,IF(Q158=84%,N158*O158*P158*F!$B$84,IF(Q158=85%,N158*O158*P158*F!$B$85,IF(Q158=86%,N158*O158*P158*F!$B$86,IF(Q158=87%,N158*O158*P158*F!$B$87,IF(Q158=88%,N158*O158*P158*F!$B$88,IF(Q158=89%,N158*O158*P158*F!$B$89,IF(Q158=90%,N158*O158*P158*F!$B$90,IF(Q158=91%,N158*O158*P158*F!$B$91,IF(Q158=92%,N158*O158*P158*F!$B$92,IF(Q158=93%,N158*O158*P158*F!$B$93,IF(Q158=94%,N158*O158*P158*F!$B$94,IF(Q158=95%,N158*O158*P158*F!$B$95,IF(Q158=96%,N158*O158*P158*F!$B$96,IF(Q158=97%,N158*O158*P158*F!$B$97,IF(Q158=98%,N158*O158*P158*F!$B$98,IF(Q158=99%,N158*O158*P158*F!$B$99,IF(Q158&gt;99%,N158*O158*P158*F!$B$100,))))))))))))))))))))))))))))))))))))))))))))))))))))))))+IF(U158&lt;30%,0,IF(U158&lt;35%,R158*S158*T158*F!$B$33,IF(U158&lt;40%,R158*S158*T158*F!$B$38,IF(U158&lt;45%,R158*S158*T158*F!$B$43,IF(U158&lt;50%,R158*S158*T158*F!$B$48,IF(U158=50%,R158*S158*T158*F!$B$50,IF(U158=51%,R158*S158*T158*F!$B$51,IF(U158=52%,R158*S158*T158*F!$B$52,IF(U158=53%,R158*S158*T158*F!$B$53,IF(U158=54%,R158*S158*T158*F!$B$54,IF(U158=55%,R158*S158*T158*F!$B$55,IF(U158=56%,R158*S158*T158*F!$B$56,IF(U158=57%,R158*S158*T158*F!$B$57,IF(U158=58%,R158*S158*T158*F!$B$58,IF(U158=59%,R158*S158*T158*F!$B$59,IF(U158=60%,R158*S158*T158*F!$B$60,IF(U158=61%,R158*S158*T158*F!$B$61,IF(U158=62%,R158*S158*T158*F!$B$62,IF(U158=63%,R158*S158*T158*F!$B$63,IF(U158=64%,R158*S158*T158*F!$B$64,IF(U158=65%,R158*S158*T158*F!$B$65,IF(U158=66%,R158*S158*T158*F!$B$66,IF(U158=67%,R158*S158*T158*F!$B$67,IF(U158=68%,R158*S158*T158*F!$B$68,IF(U158=69%,R158*S158*T158*F!$B$69,IF(U158=70%,R158*S158*T158*F!$B$70,IF(U158=71%,R158*S158*T158*F!$B$71,IF(U158=72%,R158*S158*T158*F!$B$72,IF(U158=73%,R158*S158*T158*F!$B$73,IF(U158=74%,R158*S158*T158*F!$B$74,IF(U158=75%,R158*S158*T158*F!$B$75,IF(U158=76%,R158*S158*T158*F!$B$76,IF(U158=77%,R158*S158*T158*F!$B$77,IF(U158=78%,R158*S158*T158*F!$B$78,IF(U158=79%,R158*S158*T158*F!$B$79,IF(U158=80%,R158*S158*T158*F!$B$80,IF(U158=81%,R158*S158*T158*F!$B$81,IF(U158=82%,R158*S158*T158*F!$B$82,IF(U158=83%,R158*S158*T158*F!$B$83,IF(U158=84%,R158*S158*T158*F!$B$84,IF(U158=85%,R158*S158*T158*F!$B$85,IF(U158=86%,R158*S158*T158*F!$B$86,IF(U158=87%,R158*S158*T158*F!$B$87,IF(U158=88%,R158*S158*T158*F!$B$88,IF(U158=89%,R158*S158*T158*F!$B$89,IF(U158=90%,R158*S158*T158*F!$B$90,IF(U158=91%,R158*S158*T158*F!$B$91,IF(U158=92%,R158*S158*T158*F!$B$92,IF(U158=93%,R158*S158*T158*F!$B$93,IF(U158=94%,R158*S158*T158*F!$B$94,IF(U158=95%,R158*S158*T158*F!$B$95,IF(U158=96%,R158*S158*T158*F!$B$96,IF(U158=97%,R158*S158*T158*F!$B$97,IF(U158=98%,R158*S158*T158*F!$B$98,IF(U158=99%,R158*S158*T158*F!$B$99,IF(U158&gt;99%,R158*S158*T158*F!$B$100)))))))))))))))))))))))))))))))))))))))))))))))))))))))))*IF(ISNUMBER(E158),E158,1)*IF(ISNUMBER(D158),D158,1)</f>
        <v>#REF!</v>
      </c>
      <c r="AA158" s="93">
        <f t="shared" ref="AA158:AA163" si="384">G158*H158+K158*L158+O158*P158+S158*T158</f>
        <v>48</v>
      </c>
      <c r="AB158" s="99">
        <f t="shared" ref="AB158:AB163" si="385">(H158*(IF(I158&lt;45%,0.5,IF(I158&lt;55%,0.8,IF(I158&lt;65%,0.9,IF(I158&lt;75%,1,IF(I158&lt;85%,1.1,1.2))))))+L158*(IF(M158&lt;45%,0.5,IF(M158&lt;55%,0.8,IF(M158&lt;65%,0.9,IF(M158&lt;75%,1,IF(M158&lt;85%,1.1,1.2))))))+P158*(IF(Q158&lt;45%,0.5,IF(Q158&lt;55%,0.8,IF(Q158&lt;65%,0.9,IF(Q158&lt;75%,1,IF(Q158&lt;85%,1.1,1.2))))))+T158*(IF(U158&lt;45%,0.5,IF(U158&lt;55%,0.8,IF(U158&lt;65%,0.9,IF(U158&lt;75%,1,IF(U158&lt;85%,1.1,1.2)))))))*IF(D158&gt;=0.8,6,IF(D158&lt;=0.4,1.5,3))</f>
        <v>19.2</v>
      </c>
      <c r="AC158" s="9"/>
      <c r="AD158" s="9"/>
      <c r="AE158" s="9"/>
      <c r="AF158" s="112"/>
      <c r="AG158" s="9"/>
      <c r="AH158" s="9" t="s">
        <v>50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</row>
    <row r="159" ht="15.0" customHeight="1">
      <c r="A159" s="43">
        <f>A152+2</f>
        <v>42361</v>
      </c>
      <c r="B159" s="101" t="s">
        <v>20</v>
      </c>
      <c r="C159" s="143" t="str">
        <f t="shared" si="373"/>
        <v>Выпады назад</v>
      </c>
      <c r="D159" s="46">
        <f t="shared" si="374"/>
        <v>1</v>
      </c>
      <c r="E159" s="144">
        <f t="shared" si="356"/>
        <v>2</v>
      </c>
      <c r="F159" s="59">
        <f t="shared" si="375"/>
        <v>5.8</v>
      </c>
      <c r="G159" s="60">
        <v>12.0</v>
      </c>
      <c r="H159" s="60">
        <v>4.0</v>
      </c>
      <c r="I159" s="61">
        <v>0.4</v>
      </c>
      <c r="J159" s="59" t="str">
        <f t="shared" si="376"/>
        <v/>
      </c>
      <c r="K159" s="60"/>
      <c r="L159" s="60"/>
      <c r="M159" s="61">
        <v>0.0</v>
      </c>
      <c r="N159" s="59" t="str">
        <f t="shared" si="377"/>
        <v/>
      </c>
      <c r="O159" s="60"/>
      <c r="P159" s="60"/>
      <c r="Q159" s="61">
        <v>0.0</v>
      </c>
      <c r="R159" s="59" t="str">
        <f t="shared" si="378"/>
        <v/>
      </c>
      <c r="S159" s="60"/>
      <c r="T159" s="60"/>
      <c r="U159" s="61">
        <v>0.0</v>
      </c>
      <c r="V159" s="104">
        <f t="shared" si="379"/>
        <v>556.8</v>
      </c>
      <c r="W159" s="64">
        <f t="shared" si="380"/>
        <v>11.6</v>
      </c>
      <c r="X159" s="65">
        <f t="shared" si="381"/>
        <v>0.4</v>
      </c>
      <c r="Y159" s="137">
        <f t="shared" si="382"/>
        <v>14.56845614</v>
      </c>
      <c r="Z159" s="64" t="str">
        <f t="shared" si="383"/>
        <v>#REF!</v>
      </c>
      <c r="AA159" s="60">
        <f t="shared" si="384"/>
        <v>48</v>
      </c>
      <c r="AB159" s="66">
        <f t="shared" si="385"/>
        <v>12</v>
      </c>
      <c r="AC159" s="9"/>
      <c r="AD159" s="9"/>
      <c r="AE159" s="9"/>
      <c r="AF159" s="112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</row>
    <row r="160" ht="15.75" customHeight="1">
      <c r="A160" s="57"/>
      <c r="B160" s="101" t="str">
        <f t="shared" ref="B160:C160" si="386">IF(B123="","",B123)</f>
        <v>Средняя</v>
      </c>
      <c r="C160" s="143" t="str">
        <f t="shared" si="386"/>
        <v>Отведение ноги назад</v>
      </c>
      <c r="D160" s="46">
        <f t="shared" si="374"/>
        <v>0.3</v>
      </c>
      <c r="E160" s="144">
        <f t="shared" si="356"/>
        <v>4</v>
      </c>
      <c r="F160" s="105">
        <f t="shared" si="375"/>
        <v>2.3</v>
      </c>
      <c r="G160" s="106">
        <v>12.0</v>
      </c>
      <c r="H160" s="106">
        <v>1.0</v>
      </c>
      <c r="I160" s="107">
        <v>0.45</v>
      </c>
      <c r="J160" s="105">
        <f t="shared" si="376"/>
        <v>2.6</v>
      </c>
      <c r="K160" s="106">
        <v>10.0</v>
      </c>
      <c r="L160" s="106">
        <v>4.0</v>
      </c>
      <c r="M160" s="107">
        <v>0.5</v>
      </c>
      <c r="N160" s="105" t="str">
        <f t="shared" si="377"/>
        <v/>
      </c>
      <c r="O160" s="106"/>
      <c r="P160" s="106"/>
      <c r="Q160" s="107">
        <v>0.0</v>
      </c>
      <c r="R160" s="105" t="str">
        <f t="shared" si="378"/>
        <v/>
      </c>
      <c r="S160" s="106"/>
      <c r="T160" s="106"/>
      <c r="U160" s="107">
        <v>0.0</v>
      </c>
      <c r="V160" s="108">
        <f t="shared" si="379"/>
        <v>526.4</v>
      </c>
      <c r="W160" s="109">
        <f t="shared" si="380"/>
        <v>10.12307692</v>
      </c>
      <c r="X160" s="110">
        <f t="shared" si="381"/>
        <v>0.49</v>
      </c>
      <c r="Y160" s="137">
        <f t="shared" si="382"/>
        <v>5.20302005</v>
      </c>
      <c r="Z160" s="109" t="str">
        <f t="shared" si="383"/>
        <v>#REF!</v>
      </c>
      <c r="AA160" s="106">
        <f t="shared" si="384"/>
        <v>52</v>
      </c>
      <c r="AB160" s="111">
        <f t="shared" si="385"/>
        <v>6</v>
      </c>
      <c r="AC160" s="9"/>
      <c r="AD160" s="9"/>
      <c r="AE160" s="9"/>
      <c r="AF160" s="112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</row>
    <row r="161" ht="15.75" customHeight="1">
      <c r="A161" s="57"/>
      <c r="B161" s="101" t="str">
        <f t="shared" ref="B161:C161" si="387">IF(B124="","",B124)</f>
        <v>Легкая</v>
      </c>
      <c r="C161" s="143" t="str">
        <f t="shared" si="387"/>
        <v>Тяга верхнего блока</v>
      </c>
      <c r="D161" s="46">
        <f t="shared" si="374"/>
        <v>0.3</v>
      </c>
      <c r="E161" s="144">
        <f t="shared" si="356"/>
        <v>4</v>
      </c>
      <c r="F161" s="59">
        <f t="shared" si="375"/>
        <v>3.3</v>
      </c>
      <c r="G161" s="60">
        <v>10.0</v>
      </c>
      <c r="H161" s="60">
        <v>3.0</v>
      </c>
      <c r="I161" s="61">
        <v>0.4</v>
      </c>
      <c r="J161" s="59" t="str">
        <f t="shared" si="376"/>
        <v/>
      </c>
      <c r="K161" s="60"/>
      <c r="L161" s="60"/>
      <c r="M161" s="61">
        <v>0.0</v>
      </c>
      <c r="N161" s="59" t="str">
        <f t="shared" si="377"/>
        <v/>
      </c>
      <c r="O161" s="60"/>
      <c r="P161" s="60"/>
      <c r="Q161" s="61">
        <v>0.0</v>
      </c>
      <c r="R161" s="59" t="str">
        <f t="shared" si="378"/>
        <v/>
      </c>
      <c r="S161" s="60"/>
      <c r="T161" s="60"/>
      <c r="U161" s="61">
        <v>0.0</v>
      </c>
      <c r="V161" s="104">
        <f t="shared" si="379"/>
        <v>396</v>
      </c>
      <c r="W161" s="64">
        <f t="shared" si="380"/>
        <v>13.2</v>
      </c>
      <c r="X161" s="65">
        <f t="shared" si="381"/>
        <v>0.4</v>
      </c>
      <c r="Y161" s="137">
        <f t="shared" si="382"/>
        <v>8.32483208</v>
      </c>
      <c r="Z161" s="64" t="str">
        <f t="shared" si="383"/>
        <v>#REF!</v>
      </c>
      <c r="AA161" s="60">
        <f t="shared" si="384"/>
        <v>30</v>
      </c>
      <c r="AB161" s="66">
        <f t="shared" si="385"/>
        <v>2.25</v>
      </c>
      <c r="AC161" s="9"/>
      <c r="AD161" s="9"/>
      <c r="AE161" s="9"/>
      <c r="AF161" s="112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</row>
    <row r="162" ht="15.75" customHeight="1">
      <c r="A162" s="57"/>
      <c r="B162" s="101" t="s">
        <v>18</v>
      </c>
      <c r="C162" s="143" t="str">
        <f t="shared" ref="C162:C163" si="388">IF(C125="","",C125)</f>
        <v>Тяга горизонтального блока</v>
      </c>
      <c r="D162" s="46">
        <f t="shared" si="374"/>
        <v>0.3</v>
      </c>
      <c r="E162" s="144">
        <f t="shared" si="356"/>
        <v>4</v>
      </c>
      <c r="F162" s="105">
        <f t="shared" si="375"/>
        <v>4.7</v>
      </c>
      <c r="G162" s="106">
        <v>12.0</v>
      </c>
      <c r="H162" s="106">
        <v>4.0</v>
      </c>
      <c r="I162" s="107">
        <v>0.5</v>
      </c>
      <c r="J162" s="105" t="str">
        <f t="shared" si="376"/>
        <v/>
      </c>
      <c r="K162" s="106"/>
      <c r="L162" s="106"/>
      <c r="M162" s="107">
        <v>0.0</v>
      </c>
      <c r="N162" s="105" t="str">
        <f t="shared" si="377"/>
        <v/>
      </c>
      <c r="O162" s="106"/>
      <c r="P162" s="106"/>
      <c r="Q162" s="107">
        <v>0.0</v>
      </c>
      <c r="R162" s="105" t="str">
        <f t="shared" si="378"/>
        <v/>
      </c>
      <c r="S162" s="106"/>
      <c r="T162" s="106"/>
      <c r="U162" s="107">
        <v>0.0</v>
      </c>
      <c r="V162" s="108">
        <f t="shared" si="379"/>
        <v>902.4</v>
      </c>
      <c r="W162" s="109">
        <f t="shared" si="380"/>
        <v>18.8</v>
      </c>
      <c r="X162" s="117">
        <f t="shared" si="381"/>
        <v>0.5</v>
      </c>
      <c r="Y162" s="137">
        <f t="shared" si="382"/>
        <v>9.36543609</v>
      </c>
      <c r="Z162" s="109" t="str">
        <f t="shared" si="383"/>
        <v>#REF!</v>
      </c>
      <c r="AA162" s="106">
        <f t="shared" si="384"/>
        <v>48</v>
      </c>
      <c r="AB162" s="111">
        <f t="shared" si="385"/>
        <v>4.8</v>
      </c>
      <c r="AC162" s="9"/>
      <c r="AD162" s="9"/>
      <c r="AE162" s="9"/>
      <c r="AF162" s="112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</row>
    <row r="163" ht="15.75" customHeight="1">
      <c r="A163" s="57"/>
      <c r="B163" s="101" t="s">
        <v>18</v>
      </c>
      <c r="C163" s="143" t="str">
        <f t="shared" si="388"/>
        <v>Разведения в тренажёре на заднюю дельту</v>
      </c>
      <c r="D163" s="46">
        <f t="shared" si="374"/>
        <v>0.3</v>
      </c>
      <c r="E163" s="144">
        <f t="shared" si="356"/>
        <v>4</v>
      </c>
      <c r="F163" s="59">
        <f t="shared" si="375"/>
        <v>2.3</v>
      </c>
      <c r="G163" s="60">
        <v>10.0</v>
      </c>
      <c r="H163" s="60">
        <v>4.0</v>
      </c>
      <c r="I163" s="61">
        <v>0.55</v>
      </c>
      <c r="J163" s="59" t="str">
        <f t="shared" si="376"/>
        <v/>
      </c>
      <c r="K163" s="60"/>
      <c r="L163" s="60"/>
      <c r="M163" s="61">
        <v>0.0</v>
      </c>
      <c r="N163" s="59" t="str">
        <f t="shared" si="377"/>
        <v/>
      </c>
      <c r="O163" s="60"/>
      <c r="P163" s="60"/>
      <c r="Q163" s="61">
        <v>0.0</v>
      </c>
      <c r="R163" s="59" t="str">
        <f t="shared" si="378"/>
        <v/>
      </c>
      <c r="S163" s="60"/>
      <c r="T163" s="60"/>
      <c r="U163" s="61">
        <v>0.0</v>
      </c>
      <c r="V163" s="104">
        <f t="shared" si="379"/>
        <v>368</v>
      </c>
      <c r="W163" s="64">
        <f t="shared" si="380"/>
        <v>9.2</v>
      </c>
      <c r="X163" s="65">
        <f t="shared" si="381"/>
        <v>0.55</v>
      </c>
      <c r="Y163" s="137">
        <f t="shared" si="382"/>
        <v>4.16241604</v>
      </c>
      <c r="Z163" s="64" t="str">
        <f t="shared" si="383"/>
        <v>#REF!</v>
      </c>
      <c r="AA163" s="60">
        <f t="shared" si="384"/>
        <v>40</v>
      </c>
      <c r="AB163" s="66">
        <f t="shared" si="385"/>
        <v>5.4</v>
      </c>
      <c r="AC163" s="9"/>
      <c r="AD163" s="9"/>
      <c r="AE163" s="9"/>
      <c r="AF163" s="112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</row>
    <row r="164" ht="15.75" customHeight="1">
      <c r="A164" s="72"/>
      <c r="B164" s="119" t="str">
        <f t="shared" ref="B164:C164" si="389">IF(B127="","",B127)</f>
        <v/>
      </c>
      <c r="C164" s="146" t="str">
        <f t="shared" si="389"/>
        <v>Сгибания рук с гантелями</v>
      </c>
      <c r="D164" s="75">
        <f>ROUND(IFERROR((D158*(G158*H158+K158*L158+O158*P158+S158*T158)+D159*(G159*H159+K159*L159+O159*P159+S159*T159)+D160*(G160*H160+K160*L160+O160*P160+S160*T160)+D161*(G161*H161+K161*L161+O161*P161+S161*T161)+D162*(G162*H162+K162*L162+O162*P162+S162*T162)+D163*(G163*H163+K163*L163+O163*P163+S163*T163))/((G158*H158+K158*L158+O158*P158+S158*T158)+(G159*H159+K159*L159+O159*P159+S159*T159)+(G160*H160+K160*L160+O160*P160+S160*T160)+(G161*H161+K161*L161+O161*P161+S161*T161)+(G162*H162+K162*L162+O162*P162+S162*T162)+(G163*H163+K163*L163+O163*P163+S163*T163)),0),2)</f>
        <v>0.55</v>
      </c>
      <c r="E164" s="121" t="str">
        <f t="shared" si="356"/>
        <v/>
      </c>
      <c r="F164" s="122"/>
      <c r="G164" s="123"/>
      <c r="H164" s="123"/>
      <c r="I164" s="124"/>
      <c r="J164" s="122"/>
      <c r="K164" s="123"/>
      <c r="L164" s="123"/>
      <c r="M164" s="124"/>
      <c r="N164" s="122"/>
      <c r="O164" s="123"/>
      <c r="P164" s="123"/>
      <c r="Q164" s="124"/>
      <c r="R164" s="122"/>
      <c r="S164" s="123"/>
      <c r="T164" s="123"/>
      <c r="U164" s="124"/>
      <c r="V164" s="125">
        <f>SUM(V158:V163)</f>
        <v>4069.6</v>
      </c>
      <c r="W164" s="82">
        <f>IFERROR(V164/AA164,0)</f>
        <v>15.29924812</v>
      </c>
      <c r="X164" s="83">
        <f>ROUND(IFERROR(((I158*G158*H158+M158*K158*L158+Q158*O158*P158+U158*S158*T158)+(I159*G159*H159+M159*K159*L159+Q159*O159*P159+U159*S159*T159)+(I160*G160*H160+M160*K160*L160+Q160*O160*P160+U160*S160*T160)+(I161*G161*H161+M161*K161*L161+Q161*O161*P161+U161*S161*T161)+(I162*G162*H162+M162*K162*L162+Q162*O162*P162+U162*S162*T162)+(I163*G163*H163+M163*K163*L163+Q163*O163*P163+U163*S163*T163))/((G158*H158+K158*L158+O158*P158+S158*T158)+(G159*H159+K159*L159+O159*P159+S159*T159)+(G160*H160+K160*L160+O160*P160+S160*T160)+(G161*H161+K161*L161+O161*P161+S161*T161)+(G162*H162+K162*L162+O162*P162+S162*T162)+(G163*H163+K163*L163+O163*P163+S163*T163)),0),3)</f>
        <v>0.476</v>
      </c>
      <c r="Y164" s="84"/>
      <c r="Z164" s="82" t="str">
        <f t="shared" ref="Z164:AA164" si="390">SUM(Z158:Z163)</f>
        <v>#REF!</v>
      </c>
      <c r="AA164" s="85">
        <f t="shared" si="390"/>
        <v>266</v>
      </c>
      <c r="AB164" s="86">
        <f>IF(SUM(AB158:AB163)=0,TIME(,0,),TIME(,SUM(AB158:AB163)+30,))</f>
        <v>0.05486111111</v>
      </c>
      <c r="AC164" s="9"/>
      <c r="AD164" s="9"/>
      <c r="AE164" s="9"/>
      <c r="AF164" s="112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</row>
    <row r="165" ht="15.75" customHeight="1">
      <c r="A165" s="126" t="s">
        <v>36</v>
      </c>
      <c r="B165" s="127" t="s">
        <v>23</v>
      </c>
      <c r="C165" s="176" t="str">
        <f t="shared" ref="C165:C167" si="391">IF(C128="","",C128)</f>
        <v>Ягодичный мост</v>
      </c>
      <c r="D165" s="29">
        <f t="shared" ref="D165:D170" si="392">D128</f>
        <v>1.3</v>
      </c>
      <c r="E165" s="129" t="str">
        <f t="shared" si="356"/>
        <v/>
      </c>
      <c r="F165" s="31">
        <f t="shared" ref="F165:F170" si="393">IF(I165&lt;&gt;0,(IFERROR(IF($Y165&gt;50,MROUND($Y165*I165,2.5),IF($Y165&lt;15,MROUND($Y165*I165,0.1),MROUND($Y165*I165,1))),)),"")</f>
        <v>57.5</v>
      </c>
      <c r="G165" s="32">
        <v>10.0</v>
      </c>
      <c r="H165" s="32">
        <v>1.0</v>
      </c>
      <c r="I165" s="33">
        <v>0.55</v>
      </c>
      <c r="J165" s="31">
        <f t="shared" ref="J165:J170" si="394">IF(M165&lt;&gt;0,(IFERROR(IF($Y165&gt;50,MROUND($Y165*M165,2.5),IF($Y165&lt;15,MROUND($Y165*M165,0.1),MROUND($Y165*M165,1))),)),"")</f>
        <v>65</v>
      </c>
      <c r="K165" s="32">
        <v>10.0</v>
      </c>
      <c r="L165" s="32">
        <v>1.0</v>
      </c>
      <c r="M165" s="33">
        <v>0.63</v>
      </c>
      <c r="N165" s="31">
        <f t="shared" ref="N165:N170" si="395">IF(Q165&lt;&gt;0,(IFERROR(IF($Y165&gt;50,MROUND($Y165*Q165,2.5),IF($Y165&lt;15,MROUND($Y165*Q165,0.1),MROUND($Y165*Q165,1))),)),"")</f>
        <v>75</v>
      </c>
      <c r="O165" s="32">
        <v>8.0</v>
      </c>
      <c r="P165" s="32">
        <v>1.0</v>
      </c>
      <c r="Q165" s="33">
        <v>0.72</v>
      </c>
      <c r="R165" s="31" t="str">
        <f t="shared" ref="R165:R170" si="396">IF(U165&lt;&gt;0,(IFERROR(IF($Y165&gt;50,MROUND($Y165*U165,2.5),IF($Y165&lt;15,MROUND($Y165*U165,0.1),MROUND($Y165*U165,1))),)),"")</f>
        <v/>
      </c>
      <c r="S165" s="32"/>
      <c r="T165" s="32"/>
      <c r="U165" s="33">
        <v>0.0</v>
      </c>
      <c r="V165" s="130">
        <f t="shared" ref="V165:V170" si="397">(IF(ISNUMBER(F165),F165,1)*G165*H165+IF(ISNUMBER(J165),J165,1)*K165*L165+IF(ISNUMBER(N165),N165,1)*O165*P165+IF(ISNUMBER(R165),R165,1)*S165*T165)*IF(ISNUMBER(E165),E165,1)</f>
        <v>1825</v>
      </c>
      <c r="W165" s="36">
        <f t="shared" ref="W165:W170" si="398">IFERROR((IF(ISNUMBER(F165),F165,1)*G165*H165+IF(ISNUMBER(J165),J165,1)*K165*L165+IF(ISNUMBER(N165),N165,1)*O165*P165+IF(ISNUMBER(R165),R165,1)*S165*T165)*IF(ISNUMBER(E165),E165,1)/(G165*H165+K165*L165+O165*P165+S165*T165),0)</f>
        <v>65.17857143</v>
      </c>
      <c r="X165" s="34">
        <f t="shared" ref="X165:X170" si="399">ROUND(IFERROR((W165/(Y165*IF(ISNUMBER(E165),E165,1))),0),2)</f>
        <v>0.63</v>
      </c>
      <c r="Y165" s="37">
        <f t="shared" ref="Y165:Y170" si="400">IF(ISNUMBER(Y128), Y128+(Y128*$Y$149),"")</f>
        <v>104.060401</v>
      </c>
      <c r="Z165" s="36" t="str">
        <f t="shared" ref="Z165:Z170" si="401">(IF(I165&lt;30%,0,IF(I165&lt;35%,F165*G165*H165*F!$B$33,IF(I165&lt;40%,F165*G165*H165*F!$B$38,IF(I165&lt;45%,F165*G165*H165*F!$B$43,IF(I165&lt;50%,F165*G165*H165*F!$B$48,IF(I165=50%,F165*G165*H165*F!$B$50,IF(I165=51%,F165*G165*H165*F!$B$51,IF(I165=52%,F165*G165*H165*F!$B$52,IF(I165=53%,F165*G165*H165*F!$B$53,IF(I165=54%,F165*G165*H165*F!$B$54,IF(I165=55%,F165*G165*H165*F!$B$55,IF(I165=56%,F165*G165*H165*F!$B$56,IF(I165=57%,F165*G165*H165*F!$B$57,IF(I165=58%,F165*G165*H165*F!$B$58,IF(I165=59%,F165*G165*H165*F!$B$59,IF(I165=60%,F165*G165*H165*F!$B$60,IF(I165=61%,F165*G165*H165*F!$B$61,IF(I165=62%,F165*G165*H165*F!$B$62,IF(I165=63%,F165*G165*H165*F!$B$63,IF(I165=64%,F165*G165*H165*F!$B$64,IF(I165=65%,F165*G165*H165*F!$B$65,IF(I165=66%,F165*G165*H165*F!$B$66,IF(I165=67%,F165*G165*H165*F!$B$67,IF(I165=68%,F165*G165*H165*F!$B$68,IF(I165=69%,F165*G165*H165*F!$B$69,IF(I165=70%,F165*G165*H165*F!$B$70,IF(I165=71%,F165*G165*H165*F!$B$71,IF(I165=72%,F165*G165*H165*F!$B$72,IF(I165=73%,F165*G165*H165*F!$B$73,IF(I165=74%,F165*G165*H165*F!$B$74,IF(I165=75%,F165*G165*H165*F!$B$75,IF(I165=76%,F165*G165*H165*F!$B$76,IF(I165=77%,F165*G165*H165*F!$B$77,IF(I165=78%,F165*G165*H165*F!$B$78,IF(I165=79%,F165*G165*H165*F!$B$79,IF(I165=80%,F165*G165*H165*F!$B$80,IF(I165=81%,F165*G165*H165*F!$B$81,IF(I165=82%,F165*G165*H165*F!$B$82,IF(I165=83%,F165*G165*H165*F!$B$83,IF(I165=84%,F165*G165*H165*F!$B$84,IF(I165=85%,F165*G165*H165*F!$B$85,IF(I165=86%,F165*G165*H165*F!$B$86,IF(I165=87%,F165*G165*H165*F!$B$87,IF(I165=88%,F165*G165*H165*F!$B$88,IF(I165=89%,F165*G165*H165*F!$B$89,IF(I165=90%,F165*G165*H165*F!$B$90,IF(I165=91%,F165*G165*H165*F!$B$91,IF(I165=92%,F165*G165*H165*F!$B$92,IF(I165=93%,F165*G165*H165*F!$B$93,IF(I165=94%,F165*G165*H165*F!$B$94,IF(I165=95%,F165*G165*H165*F!$B$95,IF(I165=96%,F165*G165*H165*F!$B$96,IF(I165=97%,F165*G165*H165*F!$B$97,IF(I165=98%,F165*G165*H165*F!$B$98,IF(I165=99%,F165*G165*H165*F!$B$99,IF(I165&gt;99%,F165*G165*H165*F!$B$100,))))))))))))))))))))))))))))))))))))))))))))))))))))))))+IF(M165&lt;30%,0,IF(M165&lt;35%,J165*K165*L165*F!$B$33,IF(M165&lt;40%,J165*K165*L165*F!$B$38,IF(M165&lt;45%,J165*K165*L165*F!$B$43,IF(M165&lt;50%,J165*K165*L165*F!$B$48,IF(M165=50%,J165*K165*L165*F!$B$50,IF(M165=51%,J165*K165*L165*F!$B$51,IF(M165=52%,J165*K165*L165*F!$B$52,IF(M165=53%,J165*K165*L165*F!$B$53,IF(M165=54%,J165*K165*L165*F!$B$54,IF(M165=55%,J165*K165*L165*F!$B$55,IF(M165=56%,J165*K165*L165*F!$B$56,IF(M165=57%,J165*K165*L165*F!$B$57,IF(M165=58%,J165*K165*L165*F!$B$58,IF(M165=59%,J165*K165*L165*F!$B$59,IF(M165=60%,J165*K165*L165*F!$B$60,IF(M165=61%,J165*K165*L165*F!$B$61,IF(M165=62%,J165*K165*L165*F!$B$62,IF(M165=63%,J165*K165*L165*F!$B$63,IF(M165=64%,J165*K165*L165*F!$B$64,IF(M165=65%,J165*K165*L165*F!$B$65,IF(M165=66%,J165*K165*L165*F!$B$66,IF(M165=67%,J165*K165*L165*F!$B$67,IF(M165=68%,J165*K165*L165*F!$B$68,IF(M165=69%,J165*K165*L165*F!$B$69,IF(M165=70%,J165*K165*L165*F!$B$70,IF(M165=71%,J165*K165*L165*F!$B$71,IF(M165=72%,J165*K165*L165*F!$B$72,IF(M165=73%,J165*K165*L165*F!$B$73,IF(M165=74%,J165*K165*L165*F!$B$74,IF(M165=75%,J165*K165*L165*F!$B$75,IF(M165=76%,J165*K165*L165*F!$B$76,IF(M165=77%,J165*K165*L165*F!$B$77,IF(M165=78%,J165*K165*L165*F!$B$78,IF(M165=79%,J165*K165*L165*F!$B$79,IF(M165=80%,J165*K165*L165*F!$B$80,IF(M165=81%,J165*K165*L165*F!$B$81,IF(M165=82%,J165*K165*L165*F!$B$82,IF(M165=83%,J165*K165*L165*F!$B$83,IF(M165=84%,J165*K165*L165*F!$B$84,IF(M165=85%,J165*K165*L165*F!$B$85,IF(M165=86%,J165*K165*L165*F!$B$86,IF(M165=87%,J165*K165*L165*F!$B$87,IF(M165=88%,J165*K165*L165*F!$B$88,IF(M165=89%,J165*K165*L165*F!$B$89,IF(M165=90%,J165*K165*L165*F!$B$90,IF(M165=91%,J165*K165*L165*F!$B$91,IF(M165=92%,J165*K165*L165*F!$B$92,IF(M165=93%,J165*K165*L165*F!$B$93,IF(M165=94%,J165*K165*L165*F!$B$94,IF(M165=95%,J165*K165*L165*F!$B$95,IF(M165=96%,J165*K165*L165*F!$B$96,IF(M165=97%,J165*K165*L165*F!$B$97,IF(M165=98%,J165*K165*L165*F!$B$98,IF(M165=99%,J165*K165*L165*F!$B$99,IF(M165&gt;99%,J165*K165*L165*F!$B$100,))))))))))))))))))))))))))))))))))))))))))))))))))))))))+IF(Q165&lt;30%,0,IF(Q165&lt;35%,N165*O165*P165*F!$B$33,IF(Q165&lt;40%,N165*O165*P165*F!$B$38,IF(Q165&lt;45%,N165*O165*P165*F!$B$43,IF(Q165&lt;50%,N165*O165*P165*F!$B$48,IF(Q165=50%,N165*O165*P165*F!$B$50,IF(Q165=51%,N165*O165*P165*F!$B$51,IF(Q165=52%,N165*O165*P165*F!$B$52,IF(Q165=53%,N165*O165*P165*F!$B$53,IF(Q165=54%,N165*O165*P165*F!$B$54,IF(Q165=55%,N165*O165*P165*F!$B$55,IF(Q165=56%,N165*O165*P165*F!$B$56,IF(Q165=57%,N165*O165*P165*F!$B$57,IF(Q165=58%,N165*O165*P165*F!$B$58,IF(Q165=59%,N165*O165*P165*F!$B$59,IF(Q165=60%,N165*O165*P165*F!$B$60,IF(Q165=61%,N165*O165*P165*F!$B$61,IF(Q165=62%,N165*O165*P165*F!$B$62,IF(Q165=63%,N165*O165*P165*F!$B$63,IF(Q165=64%,N165*O165*P165*F!$B$64,IF(Q165=65%,N165*O165*P165*F!$B$65,IF(Q165=66%,N165*O165*P165*F!$B$66,IF(Q165=67%,N165*O165*P165*F!$B$67,IF(Q165=68%,N165*O165*P165*F!$B$68,IF(Q165=69%,N165*O165*P165*F!$B$69,IF(Q165=70%,N165*O165*P165*F!$B$70,IF(Q165=71%,N165*O165*P165*F!$B$71,IF(Q165=72%,N165*O165*P165*F!$B$72,IF(Q165=73%,N165*O165*P165*F!$B$73,IF(Q165=74%,N165*O165*P165*F!$B$74,IF(Q165=75%,N165*O165*P165*F!$B$75,IF(Q165=76%,N165*O165*P165*F!$B$76,IF(Q165=77%,N165*O165*P165*F!$B$77,IF(Q165=78%,N165*O165*P165*F!$B$78,IF(Q165=79%,N165*O165*P165*F!$B$79,IF(Q165=80%,N165*O165*P165*F!$B$80,IF(Q165=81%,N165*O165*P165*F!$B$81,IF(Q165=82%,N165*O165*P165*F!$B$82,IF(Q165=83%,N165*O165*P165*F!$B$83,IF(Q165=84%,N165*O165*P165*F!$B$84,IF(Q165=85%,N165*O165*P165*F!$B$85,IF(Q165=86%,N165*O165*P165*F!$B$86,IF(Q165=87%,N165*O165*P165*F!$B$87,IF(Q165=88%,N165*O165*P165*F!$B$88,IF(Q165=89%,N165*O165*P165*F!$B$89,IF(Q165=90%,N165*O165*P165*F!$B$90,IF(Q165=91%,N165*O165*P165*F!$B$91,IF(Q165=92%,N165*O165*P165*F!$B$92,IF(Q165=93%,N165*O165*P165*F!$B$93,IF(Q165=94%,N165*O165*P165*F!$B$94,IF(Q165=95%,N165*O165*P165*F!$B$95,IF(Q165=96%,N165*O165*P165*F!$B$96,IF(Q165=97%,N165*O165*P165*F!$B$97,IF(Q165=98%,N165*O165*P165*F!$B$98,IF(Q165=99%,N165*O165*P165*F!$B$99,IF(Q165&gt;99%,N165*O165*P165*F!$B$100,))))))))))))))))))))))))))))))))))))))))))))))))))))))))+IF(U165&lt;30%,0,IF(U165&lt;35%,R165*S165*T165*F!$B$33,IF(U165&lt;40%,R165*S165*T165*F!$B$38,IF(U165&lt;45%,R165*S165*T165*F!$B$43,IF(U165&lt;50%,R165*S165*T165*F!$B$48,IF(U165=50%,R165*S165*T165*F!$B$50,IF(U165=51%,R165*S165*T165*F!$B$51,IF(U165=52%,R165*S165*T165*F!$B$52,IF(U165=53%,R165*S165*T165*F!$B$53,IF(U165=54%,R165*S165*T165*F!$B$54,IF(U165=55%,R165*S165*T165*F!$B$55,IF(U165=56%,R165*S165*T165*F!$B$56,IF(U165=57%,R165*S165*T165*F!$B$57,IF(U165=58%,R165*S165*T165*F!$B$58,IF(U165=59%,R165*S165*T165*F!$B$59,IF(U165=60%,R165*S165*T165*F!$B$60,IF(U165=61%,R165*S165*T165*F!$B$61,IF(U165=62%,R165*S165*T165*F!$B$62,IF(U165=63%,R165*S165*T165*F!$B$63,IF(U165=64%,R165*S165*T165*F!$B$64,IF(U165=65%,R165*S165*T165*F!$B$65,IF(U165=66%,R165*S165*T165*F!$B$66,IF(U165=67%,R165*S165*T165*F!$B$67,IF(U165=68%,R165*S165*T165*F!$B$68,IF(U165=69%,R165*S165*T165*F!$B$69,IF(U165=70%,R165*S165*T165*F!$B$70,IF(U165=71%,R165*S165*T165*F!$B$71,IF(U165=72%,R165*S165*T165*F!$B$72,IF(U165=73%,R165*S165*T165*F!$B$73,IF(U165=74%,R165*S165*T165*F!$B$74,IF(U165=75%,R165*S165*T165*F!$B$75,IF(U165=76%,R165*S165*T165*F!$B$76,IF(U165=77%,R165*S165*T165*F!$B$77,IF(U165=78%,R165*S165*T165*F!$B$78,IF(U165=79%,R165*S165*T165*F!$B$79,IF(U165=80%,R165*S165*T165*F!$B$80,IF(U165=81%,R165*S165*T165*F!$B$81,IF(U165=82%,R165*S165*T165*F!$B$82,IF(U165=83%,R165*S165*T165*F!$B$83,IF(U165=84%,R165*S165*T165*F!$B$84,IF(U165=85%,R165*S165*T165*F!$B$85,IF(U165=86%,R165*S165*T165*F!$B$86,IF(U165=87%,R165*S165*T165*F!$B$87,IF(U165=88%,R165*S165*T165*F!$B$88,IF(U165=89%,R165*S165*T165*F!$B$89,IF(U165=90%,R165*S165*T165*F!$B$90,IF(U165=91%,R165*S165*T165*F!$B$91,IF(U165=92%,R165*S165*T165*F!$B$92,IF(U165=93%,R165*S165*T165*F!$B$93,IF(U165=94%,R165*S165*T165*F!$B$94,IF(U165=95%,R165*S165*T165*F!$B$95,IF(U165=96%,R165*S165*T165*F!$B$96,IF(U165=97%,R165*S165*T165*F!$B$97,IF(U165=98%,R165*S165*T165*F!$B$98,IF(U165=99%,R165*S165*T165*F!$B$99,IF(U165&gt;99%,R165*S165*T165*F!$B$100)))))))))))))))))))))))))))))))))))))))))))))))))))))))))*IF(ISNUMBER(E165),E165,1)*IF(ISNUMBER(D165),D165,1)</f>
        <v>#REF!</v>
      </c>
      <c r="AA165" s="32">
        <f t="shared" ref="AA165:AA170" si="402">G165*H165+K165*L165+O165*P165+S165*T165</f>
        <v>28</v>
      </c>
      <c r="AB165" s="38">
        <f t="shared" ref="AB165:AB170" si="403">(H165*(IF(I165&lt;45%,0.5,IF(I165&lt;55%,0.8,IF(I165&lt;65%,0.9,IF(I165&lt;75%,1,IF(I165&lt;85%,1.1,1.2))))))+L165*(IF(M165&lt;45%,0.5,IF(M165&lt;55%,0.8,IF(M165&lt;65%,0.9,IF(M165&lt;75%,1,IF(M165&lt;85%,1.1,1.2))))))+P165*(IF(Q165&lt;45%,0.5,IF(Q165&lt;55%,0.8,IF(Q165&lt;65%,0.9,IF(Q165&lt;75%,1,IF(Q165&lt;85%,1.1,1.2))))))+T165*(IF(U165&lt;45%,0.5,IF(U165&lt;55%,0.8,IF(U165&lt;65%,0.9,IF(U165&lt;75%,1,IF(U165&lt;85%,1.1,1.2)))))))*IF(D165&gt;=0.8,6,IF(D165&lt;=0.4,1.5,3))</f>
        <v>16.8</v>
      </c>
      <c r="AC165" s="9"/>
      <c r="AD165" s="9"/>
      <c r="AE165" s="9"/>
      <c r="AF165" s="112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</row>
    <row r="166" ht="15.0" customHeight="1">
      <c r="A166" s="43">
        <f>A159+2</f>
        <v>42363</v>
      </c>
      <c r="B166" s="131" t="s">
        <v>18</v>
      </c>
      <c r="C166" s="177" t="str">
        <f t="shared" si="391"/>
        <v>Зашагивания на платформу</v>
      </c>
      <c r="D166" s="46">
        <f t="shared" si="392"/>
        <v>1</v>
      </c>
      <c r="E166" s="133" t="str">
        <f t="shared" si="356"/>
        <v/>
      </c>
      <c r="F166" s="48">
        <f t="shared" si="393"/>
        <v>0</v>
      </c>
      <c r="G166" s="49">
        <v>12.0</v>
      </c>
      <c r="H166" s="49">
        <v>1.0</v>
      </c>
      <c r="I166" s="50">
        <v>0.52</v>
      </c>
      <c r="J166" s="48">
        <f t="shared" si="394"/>
        <v>0</v>
      </c>
      <c r="K166" s="49">
        <v>10.0</v>
      </c>
      <c r="L166" s="49">
        <v>2.0</v>
      </c>
      <c r="M166" s="50">
        <v>0.63</v>
      </c>
      <c r="N166" s="48" t="str">
        <f t="shared" si="395"/>
        <v/>
      </c>
      <c r="O166" s="49"/>
      <c r="P166" s="49"/>
      <c r="Q166" s="50">
        <v>0.0</v>
      </c>
      <c r="R166" s="48" t="str">
        <f t="shared" si="396"/>
        <v/>
      </c>
      <c r="S166" s="49"/>
      <c r="T166" s="49"/>
      <c r="U166" s="50">
        <v>0.0</v>
      </c>
      <c r="V166" s="134">
        <f t="shared" si="397"/>
        <v>0</v>
      </c>
      <c r="W166" s="53">
        <f t="shared" si="398"/>
        <v>0</v>
      </c>
      <c r="X166" s="54">
        <f t="shared" si="399"/>
        <v>0</v>
      </c>
      <c r="Y166" s="137">
        <f t="shared" si="400"/>
        <v>0</v>
      </c>
      <c r="Z166" s="53" t="str">
        <f t="shared" si="401"/>
        <v>#REF!</v>
      </c>
      <c r="AA166" s="49">
        <f t="shared" si="402"/>
        <v>32</v>
      </c>
      <c r="AB166" s="56">
        <f t="shared" si="403"/>
        <v>15.6</v>
      </c>
      <c r="AC166" s="9"/>
      <c r="AD166" s="9"/>
      <c r="AE166" s="9"/>
      <c r="AF166" s="112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</row>
    <row r="167" ht="15.75" customHeight="1">
      <c r="A167" s="57"/>
      <c r="B167" s="135" t="s">
        <v>18</v>
      </c>
      <c r="C167" s="177" t="str">
        <f t="shared" si="391"/>
        <v>Разведение ног</v>
      </c>
      <c r="D167" s="46">
        <f t="shared" si="392"/>
        <v>0.5</v>
      </c>
      <c r="E167" s="133">
        <f t="shared" si="356"/>
        <v>5</v>
      </c>
      <c r="F167" s="59">
        <f t="shared" si="393"/>
        <v>4.2</v>
      </c>
      <c r="G167" s="60">
        <v>12.0</v>
      </c>
      <c r="H167" s="60">
        <v>1.0</v>
      </c>
      <c r="I167" s="61">
        <v>0.4</v>
      </c>
      <c r="J167" s="59">
        <f t="shared" si="394"/>
        <v>5.2</v>
      </c>
      <c r="K167" s="60">
        <v>15.0</v>
      </c>
      <c r="L167" s="60">
        <v>1.0</v>
      </c>
      <c r="M167" s="61">
        <v>0.5</v>
      </c>
      <c r="N167" s="59" t="str">
        <f t="shared" si="395"/>
        <v/>
      </c>
      <c r="O167" s="60"/>
      <c r="P167" s="60"/>
      <c r="Q167" s="61">
        <v>0.0</v>
      </c>
      <c r="R167" s="59" t="str">
        <f t="shared" si="396"/>
        <v/>
      </c>
      <c r="S167" s="60"/>
      <c r="T167" s="60"/>
      <c r="U167" s="61">
        <v>0.0</v>
      </c>
      <c r="V167" s="104">
        <f t="shared" si="397"/>
        <v>642</v>
      </c>
      <c r="W167" s="64">
        <f t="shared" si="398"/>
        <v>23.77777778</v>
      </c>
      <c r="X167" s="65">
        <f t="shared" si="399"/>
        <v>0.46</v>
      </c>
      <c r="Y167" s="137">
        <f t="shared" si="400"/>
        <v>10.4060401</v>
      </c>
      <c r="Z167" s="64" t="str">
        <f t="shared" si="401"/>
        <v>#REF!</v>
      </c>
      <c r="AA167" s="60">
        <f t="shared" si="402"/>
        <v>27</v>
      </c>
      <c r="AB167" s="66">
        <f t="shared" si="403"/>
        <v>3.9</v>
      </c>
      <c r="AC167" s="9"/>
      <c r="AD167" s="9"/>
      <c r="AE167" s="9"/>
      <c r="AF167" s="112"/>
      <c r="AG167" s="9"/>
      <c r="AH167" s="9"/>
      <c r="AI167" s="9"/>
      <c r="AJ167" s="9"/>
      <c r="AK167" s="9"/>
      <c r="AL167" s="9"/>
      <c r="AM167" s="9"/>
      <c r="AN167" s="9"/>
      <c r="AO167" s="17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</row>
    <row r="168" ht="15.75" customHeight="1">
      <c r="A168" s="57"/>
      <c r="B168" s="135" t="str">
        <f t="shared" ref="B168:C168" si="404">IF(B131="","",B131)</f>
        <v>Тяжелая</v>
      </c>
      <c r="C168" s="177" t="str">
        <f t="shared" si="404"/>
        <v>Жим гантелй лежа</v>
      </c>
      <c r="D168" s="46">
        <f t="shared" si="392"/>
        <v>0.4</v>
      </c>
      <c r="E168" s="133">
        <f t="shared" si="356"/>
        <v>2</v>
      </c>
      <c r="F168" s="48">
        <f t="shared" si="393"/>
        <v>6.9</v>
      </c>
      <c r="G168" s="49">
        <v>12.0</v>
      </c>
      <c r="H168" s="49">
        <v>1.0</v>
      </c>
      <c r="I168" s="50">
        <v>0.55</v>
      </c>
      <c r="J168" s="48">
        <f t="shared" si="394"/>
        <v>7.9</v>
      </c>
      <c r="K168" s="49">
        <v>10.0</v>
      </c>
      <c r="L168" s="49">
        <v>1.0</v>
      </c>
      <c r="M168" s="50">
        <v>0.63</v>
      </c>
      <c r="N168" s="48">
        <f t="shared" si="395"/>
        <v>8.9</v>
      </c>
      <c r="O168" s="49">
        <v>8.0</v>
      </c>
      <c r="P168" s="49">
        <v>1.0</v>
      </c>
      <c r="Q168" s="50">
        <v>0.71</v>
      </c>
      <c r="R168" s="48" t="str">
        <f t="shared" si="396"/>
        <v/>
      </c>
      <c r="S168" s="49"/>
      <c r="T168" s="49"/>
      <c r="U168" s="50">
        <v>0.0</v>
      </c>
      <c r="V168" s="134">
        <f t="shared" si="397"/>
        <v>466</v>
      </c>
      <c r="W168" s="53">
        <f t="shared" si="398"/>
        <v>15.53333333</v>
      </c>
      <c r="X168" s="54">
        <f t="shared" si="399"/>
        <v>0.62</v>
      </c>
      <c r="Y168" s="137">
        <f t="shared" si="400"/>
        <v>12.48724812</v>
      </c>
      <c r="Z168" s="53" t="str">
        <f t="shared" si="401"/>
        <v>#REF!</v>
      </c>
      <c r="AA168" s="49">
        <f t="shared" si="402"/>
        <v>30</v>
      </c>
      <c r="AB168" s="56">
        <f t="shared" si="403"/>
        <v>4.2</v>
      </c>
      <c r="AC168" s="9"/>
      <c r="AD168" s="9"/>
      <c r="AE168" s="9"/>
      <c r="AF168" s="112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</row>
    <row r="169" ht="15.75" customHeight="1">
      <c r="A169" s="57"/>
      <c r="B169" s="135" t="s">
        <v>18</v>
      </c>
      <c r="C169" s="177" t="str">
        <f>IF(C132="","",C132)</f>
        <v>Ходьба выпадами</v>
      </c>
      <c r="D169" s="46">
        <f t="shared" si="392"/>
        <v>0.4</v>
      </c>
      <c r="E169" s="133">
        <f t="shared" si="356"/>
        <v>2</v>
      </c>
      <c r="F169" s="59">
        <f t="shared" si="393"/>
        <v>7</v>
      </c>
      <c r="G169" s="60">
        <v>10.0</v>
      </c>
      <c r="H169" s="60">
        <v>5.0</v>
      </c>
      <c r="I169" s="61">
        <v>0.45</v>
      </c>
      <c r="J169" s="59" t="str">
        <f t="shared" si="394"/>
        <v/>
      </c>
      <c r="K169" s="60"/>
      <c r="L169" s="60"/>
      <c r="M169" s="61">
        <v>0.0</v>
      </c>
      <c r="N169" s="59" t="str">
        <f t="shared" si="395"/>
        <v/>
      </c>
      <c r="O169" s="60"/>
      <c r="P169" s="60"/>
      <c r="Q169" s="61">
        <v>0.0</v>
      </c>
      <c r="R169" s="59" t="str">
        <f t="shared" si="396"/>
        <v/>
      </c>
      <c r="S169" s="60"/>
      <c r="T169" s="60"/>
      <c r="U169" s="61">
        <v>0.0</v>
      </c>
      <c r="V169" s="104">
        <f t="shared" si="397"/>
        <v>700</v>
      </c>
      <c r="W169" s="64">
        <f t="shared" si="398"/>
        <v>14</v>
      </c>
      <c r="X169" s="62">
        <f t="shared" si="399"/>
        <v>0.45</v>
      </c>
      <c r="Y169" s="137">
        <f t="shared" si="400"/>
        <v>15.60906015</v>
      </c>
      <c r="Z169" s="64" t="str">
        <f t="shared" si="401"/>
        <v>#REF!</v>
      </c>
      <c r="AA169" s="60">
        <f t="shared" si="402"/>
        <v>50</v>
      </c>
      <c r="AB169" s="66">
        <f t="shared" si="403"/>
        <v>6</v>
      </c>
      <c r="AC169" s="9"/>
      <c r="AD169" s="9"/>
      <c r="AE169" s="9"/>
      <c r="AF169" s="112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</row>
    <row r="170" ht="15.75" customHeight="1">
      <c r="A170" s="57"/>
      <c r="B170" s="135" t="str">
        <f t="shared" ref="B170:C170" si="405">IF(B133="","",B133)</f>
        <v>Средняя</v>
      </c>
      <c r="C170" s="177" t="str">
        <f t="shared" si="405"/>
        <v>Гиперэкстензия на ягодицы</v>
      </c>
      <c r="D170" s="46">
        <f t="shared" si="392"/>
        <v>0.4</v>
      </c>
      <c r="E170" s="133" t="str">
        <f t="shared" si="356"/>
        <v/>
      </c>
      <c r="F170" s="48">
        <f t="shared" si="393"/>
        <v>17</v>
      </c>
      <c r="G170" s="49">
        <v>8.0</v>
      </c>
      <c r="H170" s="49">
        <v>4.0</v>
      </c>
      <c r="I170" s="50">
        <v>0.55</v>
      </c>
      <c r="J170" s="48" t="str">
        <f t="shared" si="394"/>
        <v/>
      </c>
      <c r="K170" s="49"/>
      <c r="L170" s="49"/>
      <c r="M170" s="50">
        <v>0.0</v>
      </c>
      <c r="N170" s="48" t="str">
        <f t="shared" si="395"/>
        <v/>
      </c>
      <c r="O170" s="49"/>
      <c r="P170" s="49"/>
      <c r="Q170" s="50">
        <v>0.0</v>
      </c>
      <c r="R170" s="48" t="str">
        <f t="shared" si="396"/>
        <v/>
      </c>
      <c r="S170" s="49"/>
      <c r="T170" s="49"/>
      <c r="U170" s="50">
        <v>0.0</v>
      </c>
      <c r="V170" s="134">
        <f t="shared" si="397"/>
        <v>544</v>
      </c>
      <c r="W170" s="53">
        <f t="shared" si="398"/>
        <v>17</v>
      </c>
      <c r="X170" s="54">
        <f t="shared" si="399"/>
        <v>0.54</v>
      </c>
      <c r="Y170" s="137">
        <f t="shared" si="400"/>
        <v>31.2181203</v>
      </c>
      <c r="Z170" s="53" t="str">
        <f t="shared" si="401"/>
        <v>#REF!</v>
      </c>
      <c r="AA170" s="49">
        <f t="shared" si="402"/>
        <v>32</v>
      </c>
      <c r="AB170" s="56">
        <f t="shared" si="403"/>
        <v>5.4</v>
      </c>
      <c r="AC170" s="9"/>
      <c r="AD170" s="9"/>
      <c r="AE170" s="9"/>
      <c r="AF170" s="112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</row>
    <row r="171" ht="15.75" customHeight="1">
      <c r="A171" s="72"/>
      <c r="B171" s="138" t="str">
        <f t="shared" ref="B171:C171" si="406">IF(B134="","",B134)</f>
        <v/>
      </c>
      <c r="C171" s="178" t="str">
        <f t="shared" si="406"/>
        <v>Скручивания (пресс)</v>
      </c>
      <c r="D171" s="75">
        <f>ROUND(IFERROR((D165*(G165*H165+K165*L165+O165*P165+S165*T165)+D166*(G166*H166+K166*L166+O166*P166+S166*T166)+D167*(G167*H167+K167*L167+O167*P167+S167*T167)+D168*(G168*H168+K168*L168+O168*P168+S168*T168)+D169*(G169*H169+K169*L169+O169*P169+S169*T169)+D170*(G170*H170+K170*L170+O170*P170+S170*T170))/((G165*H165+K165*L165+O165*P165+S165*T165)+(G166*H166+K166*L166+O166*P166+S166*T166)+(G167*H167+K167*L167+O167*P167+S167*T167)+(G168*H168+K168*L168+O168*P168+S168*T168)+(G169*H169+K169*L169+O169*P169+S169*T169)+(G170*H170+K170*L170+O170*P170+S170*T170)),0),2)</f>
        <v>0.64</v>
      </c>
      <c r="E171" s="140" t="str">
        <f t="shared" si="356"/>
        <v/>
      </c>
      <c r="F171" s="77"/>
      <c r="G171" s="78"/>
      <c r="H171" s="78"/>
      <c r="I171" s="79"/>
      <c r="J171" s="77"/>
      <c r="K171" s="78"/>
      <c r="L171" s="78"/>
      <c r="M171" s="79"/>
      <c r="N171" s="77"/>
      <c r="O171" s="78"/>
      <c r="P171" s="78"/>
      <c r="Q171" s="79"/>
      <c r="R171" s="77"/>
      <c r="S171" s="78"/>
      <c r="T171" s="78"/>
      <c r="U171" s="79"/>
      <c r="V171" s="125">
        <f>SUM(V165:V170)</f>
        <v>4177</v>
      </c>
      <c r="W171" s="82">
        <f>IFERROR(V171/AA171,0)</f>
        <v>20.98994975</v>
      </c>
      <c r="X171" s="83">
        <f>ROUND(IFERROR(((I165*G165*H165+M165*K165*L165+Q165*O165*P165+U165*S165*T165)+(I166*G166*H166+M166*K166*L166+Q166*O166*P166+U166*S166*T166)+(I167*G167*H167+M167*K167*L167+Q167*O167*P167+U167*S167*T167)+(I168*G168*H168+M168*K168*L168+Q168*O168*P168+U168*S168*T168)+(I169*G169*H169+M169*K169*L169+Q169*O169*P169+U169*S169*T169)+(I170*G170*H170+M170*K170*L170+Q170*O170*P170+U170*S170*T170))/((G165*H165+K165*L165+O165*P165+S165*T165)+(G166*H166+K166*L166+O166*P166+S166*T166)+(G167*H167+K167*L167+O167*P167+S167*T167)+(G168*H168+K168*L168+O168*P168+S168*T168)+(G169*H169+K169*L169+O169*P169+S169*T169)+(G170*H170+K170*L170+O170*P170+S170*T170)),0),3)</f>
        <v>0.54</v>
      </c>
      <c r="Y171" s="84"/>
      <c r="Z171" s="82" t="str">
        <f t="shared" ref="Z171:AA171" si="407">SUM(Z165:Z170)</f>
        <v>#REF!</v>
      </c>
      <c r="AA171" s="85">
        <f t="shared" si="407"/>
        <v>199</v>
      </c>
      <c r="AB171" s="86">
        <f>IF(SUM(AB165:AB170)=0,TIME(,0,),TIME(,SUM(AB165:AB170)+30,))</f>
        <v>0.05625</v>
      </c>
      <c r="AC171" s="9"/>
      <c r="AD171" s="9"/>
      <c r="AE171" s="9"/>
      <c r="AF171" s="112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</row>
    <row r="172" ht="15.75" hidden="1" customHeight="1">
      <c r="A172" s="88" t="s">
        <v>44</v>
      </c>
      <c r="B172" s="89" t="str">
        <f t="shared" ref="B172:C172" si="408">IF(B135="","",B135)</f>
        <v/>
      </c>
      <c r="C172" s="141" t="str">
        <f t="shared" si="408"/>
        <v/>
      </c>
      <c r="D172" s="29" t="str">
        <f t="shared" ref="D172:D177" si="410">D135</f>
        <v/>
      </c>
      <c r="E172" s="91" t="str">
        <f t="shared" si="356"/>
        <v/>
      </c>
      <c r="F172" s="92"/>
      <c r="G172" s="93"/>
      <c r="H172" s="93"/>
      <c r="I172" s="94" t="str">
        <f t="shared" ref="I172:I177" si="411">IFERROR(ROUND(F172/$Y172,2),)</f>
        <v/>
      </c>
      <c r="J172" s="92"/>
      <c r="K172" s="93"/>
      <c r="L172" s="93"/>
      <c r="M172" s="94" t="str">
        <f t="shared" ref="M172:M177" si="412">IFERROR(ROUND(J172/$Y172,2),)</f>
        <v/>
      </c>
      <c r="N172" s="92"/>
      <c r="O172" s="93"/>
      <c r="P172" s="93"/>
      <c r="Q172" s="94" t="str">
        <f t="shared" ref="Q172:Q177" si="413">IFERROR(ROUND(N172/$Y172,2),)</f>
        <v/>
      </c>
      <c r="R172" s="92"/>
      <c r="S172" s="93"/>
      <c r="T172" s="93"/>
      <c r="U172" s="94" t="str">
        <f t="shared" ref="U172:U177" si="414">IFERROR(ROUND(R172/$Y172,2),)</f>
        <v/>
      </c>
      <c r="V172" s="95">
        <f t="shared" ref="V172:V177" si="415">(IF(ISNUMBER(F172),F172,1)*G172*H172+IF(ISNUMBER(J172),J172,1)*K172*L172+IF(ISNUMBER(N172),N172,1)*O172*P172+IF(ISNUMBER(R172),R172,1)*S172*T172)*IF(ISNUMBER(E172),E172,1)</f>
        <v>0</v>
      </c>
      <c r="W172" s="96">
        <f t="shared" ref="W172:W177" si="416">IFERROR((IF(ISNUMBER(F172),F172,1)*G172*H172+IF(ISNUMBER(J172),J172,1)*K172*L172+IF(ISNUMBER(N172),N172,1)*O172*P172+IF(ISNUMBER(R172),R172,1)*S172*T172)*IF(ISNUMBER(E172),E172,1)/(G172*H172+K172*L172+O172*P172+S172*T172),0)</f>
        <v>0</v>
      </c>
      <c r="X172" s="97">
        <f t="shared" ref="X172:X177" si="417">ROUND(IFERROR((W172/(Y172*IF(ISNUMBER(E172),E172,1))),0),2)</f>
        <v>0</v>
      </c>
      <c r="Y172" s="37" t="str">
        <f t="shared" ref="Y172:Y177" si="418">IF(ISNUMBER(Y135), Y135+(Y135*$Y$149),"")</f>
        <v/>
      </c>
      <c r="Z172" s="96">
        <f t="shared" ref="Z172:Z177" si="419">(IF(I172&lt;30%,0,IF(I172&lt;35%,F172*G172*H172*F!$B$33,IF(I172&lt;40%,F172*G172*H172*F!$B$38,IF(I172&lt;45%,F172*G172*H172*F!$B$43,IF(I172&lt;50%,F172*G172*H172*F!$B$48,IF(I172=50%,F172*G172*H172*F!$B$50,IF(I172=51%,F172*G172*H172*F!$B$51,IF(I172=52%,F172*G172*H172*F!$B$52,IF(I172=53%,F172*G172*H172*F!$B$53,IF(I172=54%,F172*G172*H172*F!$B$54,IF(I172=55%,F172*G172*H172*F!$B$55,IF(I172=56%,F172*G172*H172*F!$B$56,IF(I172=57%,F172*G172*H172*F!$B$57,IF(I172=58%,F172*G172*H172*F!$B$58,IF(I172=59%,F172*G172*H172*F!$B$59,IF(I172=60%,F172*G172*H172*F!$B$60,IF(I172=61%,F172*G172*H172*F!$B$61,IF(I172=62%,F172*G172*H172*F!$B$62,IF(I172=63%,F172*G172*H172*F!$B$63,IF(I172=64%,F172*G172*H172*F!$B$64,IF(I172=65%,F172*G172*H172*F!$B$65,IF(I172=66%,F172*G172*H172*F!$B$66,IF(I172=67%,F172*G172*H172*F!$B$67,IF(I172=68%,F172*G172*H172*F!$B$68,IF(I172=69%,F172*G172*H172*F!$B$69,IF(I172=70%,F172*G172*H172*F!$B$70,IF(I172=71%,F172*G172*H172*F!$B$71,IF(I172=72%,F172*G172*H172*F!$B$72,IF(I172=73%,F172*G172*H172*F!$B$73,IF(I172=74%,F172*G172*H172*F!$B$74,IF(I172=75%,F172*G172*H172*F!$B$75,IF(I172=76%,F172*G172*H172*F!$B$76,IF(I172=77%,F172*G172*H172*F!$B$77,IF(I172=78%,F172*G172*H172*F!$B$78,IF(I172=79%,F172*G172*H172*F!$B$79,IF(I172=80%,F172*G172*H172*F!$B$80,IF(I172=81%,F172*G172*H172*F!$B$81,IF(I172=82%,F172*G172*H172*F!$B$82,IF(I172=83%,F172*G172*H172*F!$B$83,IF(I172=84%,F172*G172*H172*F!$B$84,IF(I172=85%,F172*G172*H172*F!$B$85,IF(I172=86%,F172*G172*H172*F!$B$86,IF(I172=87%,F172*G172*H172*F!$B$87,IF(I172=88%,F172*G172*H172*F!$B$88,IF(I172=89%,F172*G172*H172*F!$B$89,IF(I172=90%,F172*G172*H172*F!$B$90,IF(I172=91%,F172*G172*H172*F!$B$91,IF(I172=92%,F172*G172*H172*F!$B$92,IF(I172=93%,F172*G172*H172*F!$B$93,IF(I172=94%,F172*G172*H172*F!$B$94,IF(I172=95%,F172*G172*H172*F!$B$95,IF(I172=96%,F172*G172*H172*F!$B$96,IF(I172=97%,F172*G172*H172*F!$B$97,IF(I172=98%,F172*G172*H172*F!$B$98,IF(I172=99%,F172*G172*H172*F!$B$99,IF(I172&gt;99%,F172*G172*H172*F!$B$100,))))))))))))))))))))))))))))))))))))))))))))))))))))))))+IF(M172&lt;30%,0,IF(M172&lt;35%,J172*K172*L172*F!$B$33,IF(M172&lt;40%,J172*K172*L172*F!$B$38,IF(M172&lt;45%,J172*K172*L172*F!$B$43,IF(M172&lt;50%,J172*K172*L172*F!$B$48,IF(M172=50%,J172*K172*L172*F!$B$50,IF(M172=51%,J172*K172*L172*F!$B$51,IF(M172=52%,J172*K172*L172*F!$B$52,IF(M172=53%,J172*K172*L172*F!$B$53,IF(M172=54%,J172*K172*L172*F!$B$54,IF(M172=55%,J172*K172*L172*F!$B$55,IF(M172=56%,J172*K172*L172*F!$B$56,IF(M172=57%,J172*K172*L172*F!$B$57,IF(M172=58%,J172*K172*L172*F!$B$58,IF(M172=59%,J172*K172*L172*F!$B$59,IF(M172=60%,J172*K172*L172*F!$B$60,IF(M172=61%,J172*K172*L172*F!$B$61,IF(M172=62%,J172*K172*L172*F!$B$62,IF(M172=63%,J172*K172*L172*F!$B$63,IF(M172=64%,J172*K172*L172*F!$B$64,IF(M172=65%,J172*K172*L172*F!$B$65,IF(M172=66%,J172*K172*L172*F!$B$66,IF(M172=67%,J172*K172*L172*F!$B$67,IF(M172=68%,J172*K172*L172*F!$B$68,IF(M172=69%,J172*K172*L172*F!$B$69,IF(M172=70%,J172*K172*L172*F!$B$70,IF(M172=71%,J172*K172*L172*F!$B$71,IF(M172=72%,J172*K172*L172*F!$B$72,IF(M172=73%,J172*K172*L172*F!$B$73,IF(M172=74%,J172*K172*L172*F!$B$74,IF(M172=75%,J172*K172*L172*F!$B$75,IF(M172=76%,J172*K172*L172*F!$B$76,IF(M172=77%,J172*K172*L172*F!$B$77,IF(M172=78%,J172*K172*L172*F!$B$78,IF(M172=79%,J172*K172*L172*F!$B$79,IF(M172=80%,J172*K172*L172*F!$B$80,IF(M172=81%,J172*K172*L172*F!$B$81,IF(M172=82%,J172*K172*L172*F!$B$82,IF(M172=83%,J172*K172*L172*F!$B$83,IF(M172=84%,J172*K172*L172*F!$B$84,IF(M172=85%,J172*K172*L172*F!$B$85,IF(M172=86%,J172*K172*L172*F!$B$86,IF(M172=87%,J172*K172*L172*F!$B$87,IF(M172=88%,J172*K172*L172*F!$B$88,IF(M172=89%,J172*K172*L172*F!$B$89,IF(M172=90%,J172*K172*L172*F!$B$90,IF(M172=91%,J172*K172*L172*F!$B$91,IF(M172=92%,J172*K172*L172*F!$B$92,IF(M172=93%,J172*K172*L172*F!$B$93,IF(M172=94%,J172*K172*L172*F!$B$94,IF(M172=95%,J172*K172*L172*F!$B$95,IF(M172=96%,J172*K172*L172*F!$B$96,IF(M172=97%,J172*K172*L172*F!$B$97,IF(M172=98%,J172*K172*L172*F!$B$98,IF(M172=99%,J172*K172*L172*F!$B$99,IF(M172&gt;99%,J172*K172*L172*F!$B$100,))))))))))))))))))))))))))))))))))))))))))))))))))))))))+IF(Q172&lt;30%,0,IF(Q172&lt;35%,N172*O172*P172*F!$B$33,IF(Q172&lt;40%,N172*O172*P172*F!$B$38,IF(Q172&lt;45%,N172*O172*P172*F!$B$43,IF(Q172&lt;50%,N172*O172*P172*F!$B$48,IF(Q172=50%,N172*O172*P172*F!$B$50,IF(Q172=51%,N172*O172*P172*F!$B$51,IF(Q172=52%,N172*O172*P172*F!$B$52,IF(Q172=53%,N172*O172*P172*F!$B$53,IF(Q172=54%,N172*O172*P172*F!$B$54,IF(Q172=55%,N172*O172*P172*F!$B$55,IF(Q172=56%,N172*O172*P172*F!$B$56,IF(Q172=57%,N172*O172*P172*F!$B$57,IF(Q172=58%,N172*O172*P172*F!$B$58,IF(Q172=59%,N172*O172*P172*F!$B$59,IF(Q172=60%,N172*O172*P172*F!$B$60,IF(Q172=61%,N172*O172*P172*F!$B$61,IF(Q172=62%,N172*O172*P172*F!$B$62,IF(Q172=63%,N172*O172*P172*F!$B$63,IF(Q172=64%,N172*O172*P172*F!$B$64,IF(Q172=65%,N172*O172*P172*F!$B$65,IF(Q172=66%,N172*O172*P172*F!$B$66,IF(Q172=67%,N172*O172*P172*F!$B$67,IF(Q172=68%,N172*O172*P172*F!$B$68,IF(Q172=69%,N172*O172*P172*F!$B$69,IF(Q172=70%,N172*O172*P172*F!$B$70,IF(Q172=71%,N172*O172*P172*F!$B$71,IF(Q172=72%,N172*O172*P172*F!$B$72,IF(Q172=73%,N172*O172*P172*F!$B$73,IF(Q172=74%,N172*O172*P172*F!$B$74,IF(Q172=75%,N172*O172*P172*F!$B$75,IF(Q172=76%,N172*O172*P172*F!$B$76,IF(Q172=77%,N172*O172*P172*F!$B$77,IF(Q172=78%,N172*O172*P172*F!$B$78,IF(Q172=79%,N172*O172*P172*F!$B$79,IF(Q172=80%,N172*O172*P172*F!$B$80,IF(Q172=81%,N172*O172*P172*F!$B$81,IF(Q172=82%,N172*O172*P172*F!$B$82,IF(Q172=83%,N172*O172*P172*F!$B$83,IF(Q172=84%,N172*O172*P172*F!$B$84,IF(Q172=85%,N172*O172*P172*F!$B$85,IF(Q172=86%,N172*O172*P172*F!$B$86,IF(Q172=87%,N172*O172*P172*F!$B$87,IF(Q172=88%,N172*O172*P172*F!$B$88,IF(Q172=89%,N172*O172*P172*F!$B$89,IF(Q172=90%,N172*O172*P172*F!$B$90,IF(Q172=91%,N172*O172*P172*F!$B$91,IF(Q172=92%,N172*O172*P172*F!$B$92,IF(Q172=93%,N172*O172*P172*F!$B$93,IF(Q172=94%,N172*O172*P172*F!$B$94,IF(Q172=95%,N172*O172*P172*F!$B$95,IF(Q172=96%,N172*O172*P172*F!$B$96,IF(Q172=97%,N172*O172*P172*F!$B$97,IF(Q172=98%,N172*O172*P172*F!$B$98,IF(Q172=99%,N172*O172*P172*F!$B$99,IF(Q172&gt;99%,N172*O172*P172*F!$B$100,))))))))))))))))))))))))))))))))))))))))))))))))))))))))+IF(U172&lt;30%,0,IF(U172&lt;35%,R172*S172*T172*F!$B$33,IF(U172&lt;40%,R172*S172*T172*F!$B$38,IF(U172&lt;45%,R172*S172*T172*F!$B$43,IF(U172&lt;50%,R172*S172*T172*F!$B$48,IF(U172=50%,R172*S172*T172*F!$B$50,IF(U172=51%,R172*S172*T172*F!$B$51,IF(U172=52%,R172*S172*T172*F!$B$52,IF(U172=53%,R172*S172*T172*F!$B$53,IF(U172=54%,R172*S172*T172*F!$B$54,IF(U172=55%,R172*S172*T172*F!$B$55,IF(U172=56%,R172*S172*T172*F!$B$56,IF(U172=57%,R172*S172*T172*F!$B$57,IF(U172=58%,R172*S172*T172*F!$B$58,IF(U172=59%,R172*S172*T172*F!$B$59,IF(U172=60%,R172*S172*T172*F!$B$60,IF(U172=61%,R172*S172*T172*F!$B$61,IF(U172=62%,R172*S172*T172*F!$B$62,IF(U172=63%,R172*S172*T172*F!$B$63,IF(U172=64%,R172*S172*T172*F!$B$64,IF(U172=65%,R172*S172*T172*F!$B$65,IF(U172=66%,R172*S172*T172*F!$B$66,IF(U172=67%,R172*S172*T172*F!$B$67,IF(U172=68%,R172*S172*T172*F!$B$68,IF(U172=69%,R172*S172*T172*F!$B$69,IF(U172=70%,R172*S172*T172*F!$B$70,IF(U172=71%,R172*S172*T172*F!$B$71,IF(U172=72%,R172*S172*T172*F!$B$72,IF(U172=73%,R172*S172*T172*F!$B$73,IF(U172=74%,R172*S172*T172*F!$B$74,IF(U172=75%,R172*S172*T172*F!$B$75,IF(U172=76%,R172*S172*T172*F!$B$76,IF(U172=77%,R172*S172*T172*F!$B$77,IF(U172=78%,R172*S172*T172*F!$B$78,IF(U172=79%,R172*S172*T172*F!$B$79,IF(U172=80%,R172*S172*T172*F!$B$80,IF(U172=81%,R172*S172*T172*F!$B$81,IF(U172=82%,R172*S172*T172*F!$B$82,IF(U172=83%,R172*S172*T172*F!$B$83,IF(U172=84%,R172*S172*T172*F!$B$84,IF(U172=85%,R172*S172*T172*F!$B$85,IF(U172=86%,R172*S172*T172*F!$B$86,IF(U172=87%,R172*S172*T172*F!$B$87,IF(U172=88%,R172*S172*T172*F!$B$88,IF(U172=89%,R172*S172*T172*F!$B$89,IF(U172=90%,R172*S172*T172*F!$B$90,IF(U172=91%,R172*S172*T172*F!$B$91,IF(U172=92%,R172*S172*T172*F!$B$92,IF(U172=93%,R172*S172*T172*F!$B$93,IF(U172=94%,R172*S172*T172*F!$B$94,IF(U172=95%,R172*S172*T172*F!$B$95,IF(U172=96%,R172*S172*T172*F!$B$96,IF(U172=97%,R172*S172*T172*F!$B$97,IF(U172=98%,R172*S172*T172*F!$B$98,IF(U172=99%,R172*S172*T172*F!$B$99,IF(U172&gt;99%,R172*S172*T172*F!$B$100)))))))))))))))))))))))))))))))))))))))))))))))))))))))))*IF(ISNUMBER(E172),E172,1)*IF(ISNUMBER(D172),D172,1)</f>
        <v>0</v>
      </c>
      <c r="AA172" s="93">
        <f t="shared" ref="AA172:AA177" si="420">G172*H172+K172*L172+O172*P172+S172*T172</f>
        <v>0</v>
      </c>
      <c r="AB172" s="99">
        <f t="shared" ref="AB172:AB177" si="421">(H172*(IF(I172&lt;45%,0.5,IF(I172&lt;55%,0.8,IF(I172&lt;65%,0.9,IF(I172&lt;75%,1,IF(I172&lt;85%,1.1,1.2))))))+L172*(IF(M172&lt;45%,0.5,IF(M172&lt;55%,0.8,IF(M172&lt;65%,0.9,IF(M172&lt;75%,1,IF(M172&lt;85%,1.1,1.2))))))+P172*(IF(Q172&lt;45%,0.5,IF(Q172&lt;55%,0.8,IF(Q172&lt;65%,0.9,IF(Q172&lt;75%,1,IF(Q172&lt;85%,1.1,1.2))))))+T172*(IF(U172&lt;45%,0.5,IF(U172&lt;55%,0.8,IF(U172&lt;65%,0.9,IF(U172&lt;75%,1,IF(U172&lt;85%,1.1,1.2)))))))*IF(D172&gt;=0.8,6,IF(D172&lt;=0.4,1.5,3))</f>
        <v>0</v>
      </c>
      <c r="AC172" s="9"/>
      <c r="AD172" s="9"/>
      <c r="AE172" s="9"/>
      <c r="AF172" s="112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</row>
    <row r="173" ht="15.0" hidden="1" customHeight="1">
      <c r="A173" s="142">
        <f>A166+1</f>
        <v>42364</v>
      </c>
      <c r="B173" s="101" t="str">
        <f t="shared" ref="B173:C173" si="409">IF(B136="","",B136)</f>
        <v/>
      </c>
      <c r="C173" s="143" t="str">
        <f t="shared" si="409"/>
        <v/>
      </c>
      <c r="D173" s="46" t="str">
        <f t="shared" si="410"/>
        <v/>
      </c>
      <c r="E173" s="144" t="str">
        <f t="shared" si="356"/>
        <v/>
      </c>
      <c r="F173" s="59"/>
      <c r="G173" s="60"/>
      <c r="H173" s="60"/>
      <c r="I173" s="61" t="str">
        <f t="shared" si="411"/>
        <v/>
      </c>
      <c r="J173" s="59"/>
      <c r="K173" s="60"/>
      <c r="L173" s="60"/>
      <c r="M173" s="61" t="str">
        <f t="shared" si="412"/>
        <v/>
      </c>
      <c r="N173" s="59"/>
      <c r="O173" s="60"/>
      <c r="P173" s="60"/>
      <c r="Q173" s="61" t="str">
        <f t="shared" si="413"/>
        <v/>
      </c>
      <c r="R173" s="59"/>
      <c r="S173" s="60"/>
      <c r="T173" s="60"/>
      <c r="U173" s="61" t="str">
        <f t="shared" si="414"/>
        <v/>
      </c>
      <c r="V173" s="104">
        <f t="shared" si="415"/>
        <v>0</v>
      </c>
      <c r="W173" s="64">
        <f t="shared" si="416"/>
        <v>0</v>
      </c>
      <c r="X173" s="65">
        <f t="shared" si="417"/>
        <v>0</v>
      </c>
      <c r="Y173" s="137" t="str">
        <f t="shared" si="418"/>
        <v/>
      </c>
      <c r="Z173" s="64">
        <f t="shared" si="419"/>
        <v>0</v>
      </c>
      <c r="AA173" s="60">
        <f t="shared" si="420"/>
        <v>0</v>
      </c>
      <c r="AB173" s="66">
        <f t="shared" si="421"/>
        <v>0</v>
      </c>
      <c r="AC173" s="9"/>
      <c r="AD173" s="9"/>
      <c r="AE173" s="9"/>
      <c r="AF173" s="112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</row>
    <row r="174" ht="15.75" hidden="1" customHeight="1">
      <c r="A174" s="57"/>
      <c r="B174" s="101" t="str">
        <f t="shared" ref="B174:C174" si="422">IF(B137="","",B137)</f>
        <v/>
      </c>
      <c r="C174" s="143" t="str">
        <f t="shared" si="422"/>
        <v/>
      </c>
      <c r="D174" s="46" t="str">
        <f t="shared" si="410"/>
        <v/>
      </c>
      <c r="E174" s="144" t="str">
        <f t="shared" si="356"/>
        <v/>
      </c>
      <c r="F174" s="105"/>
      <c r="G174" s="106"/>
      <c r="H174" s="106"/>
      <c r="I174" s="107" t="str">
        <f t="shared" si="411"/>
        <v/>
      </c>
      <c r="J174" s="105"/>
      <c r="K174" s="106"/>
      <c r="L174" s="106"/>
      <c r="M174" s="107" t="str">
        <f t="shared" si="412"/>
        <v/>
      </c>
      <c r="N174" s="105"/>
      <c r="O174" s="106"/>
      <c r="P174" s="106"/>
      <c r="Q174" s="107" t="str">
        <f t="shared" si="413"/>
        <v/>
      </c>
      <c r="R174" s="105"/>
      <c r="S174" s="106"/>
      <c r="T174" s="106"/>
      <c r="U174" s="107" t="str">
        <f t="shared" si="414"/>
        <v/>
      </c>
      <c r="V174" s="108">
        <f t="shared" si="415"/>
        <v>0</v>
      </c>
      <c r="W174" s="109">
        <f t="shared" si="416"/>
        <v>0</v>
      </c>
      <c r="X174" s="110">
        <f t="shared" si="417"/>
        <v>0</v>
      </c>
      <c r="Y174" s="137" t="str">
        <f t="shared" si="418"/>
        <v/>
      </c>
      <c r="Z174" s="109">
        <f t="shared" si="419"/>
        <v>0</v>
      </c>
      <c r="AA174" s="106">
        <f t="shared" si="420"/>
        <v>0</v>
      </c>
      <c r="AB174" s="111">
        <f t="shared" si="421"/>
        <v>0</v>
      </c>
      <c r="AC174" s="9"/>
      <c r="AD174" s="9"/>
      <c r="AE174" s="9"/>
      <c r="AF174" s="112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</row>
    <row r="175" ht="15.75" hidden="1" customHeight="1">
      <c r="A175" s="57"/>
      <c r="B175" s="101" t="str">
        <f t="shared" ref="B175:C175" si="423">IF(B138="","",B138)</f>
        <v/>
      </c>
      <c r="C175" s="143" t="str">
        <f t="shared" si="423"/>
        <v/>
      </c>
      <c r="D175" s="46" t="str">
        <f t="shared" si="410"/>
        <v/>
      </c>
      <c r="E175" s="144" t="str">
        <f t="shared" si="356"/>
        <v/>
      </c>
      <c r="F175" s="59"/>
      <c r="G175" s="60"/>
      <c r="H175" s="60"/>
      <c r="I175" s="61" t="str">
        <f t="shared" si="411"/>
        <v/>
      </c>
      <c r="J175" s="59"/>
      <c r="K175" s="60"/>
      <c r="L175" s="60"/>
      <c r="M175" s="61" t="str">
        <f t="shared" si="412"/>
        <v/>
      </c>
      <c r="N175" s="59"/>
      <c r="O175" s="60"/>
      <c r="P175" s="60"/>
      <c r="Q175" s="61" t="str">
        <f t="shared" si="413"/>
        <v/>
      </c>
      <c r="R175" s="59"/>
      <c r="S175" s="60"/>
      <c r="T175" s="60"/>
      <c r="U175" s="61" t="str">
        <f t="shared" si="414"/>
        <v/>
      </c>
      <c r="V175" s="104">
        <f t="shared" si="415"/>
        <v>0</v>
      </c>
      <c r="W175" s="64">
        <f t="shared" si="416"/>
        <v>0</v>
      </c>
      <c r="X175" s="65">
        <f t="shared" si="417"/>
        <v>0</v>
      </c>
      <c r="Y175" s="137" t="str">
        <f t="shared" si="418"/>
        <v/>
      </c>
      <c r="Z175" s="64">
        <f t="shared" si="419"/>
        <v>0</v>
      </c>
      <c r="AA175" s="60">
        <f t="shared" si="420"/>
        <v>0</v>
      </c>
      <c r="AB175" s="66">
        <f t="shared" si="421"/>
        <v>0</v>
      </c>
      <c r="AC175" s="9"/>
      <c r="AD175" s="9"/>
      <c r="AE175" s="9"/>
      <c r="AF175" s="112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</row>
    <row r="176" ht="15.75" hidden="1" customHeight="1">
      <c r="A176" s="57"/>
      <c r="B176" s="101" t="str">
        <f t="shared" ref="B176:C176" si="424">IF(B139="","",B139)</f>
        <v/>
      </c>
      <c r="C176" s="143" t="str">
        <f t="shared" si="424"/>
        <v/>
      </c>
      <c r="D176" s="46" t="str">
        <f t="shared" si="410"/>
        <v/>
      </c>
      <c r="E176" s="144" t="str">
        <f t="shared" si="356"/>
        <v/>
      </c>
      <c r="F176" s="105"/>
      <c r="G176" s="106"/>
      <c r="H176" s="106"/>
      <c r="I176" s="107" t="str">
        <f t="shared" si="411"/>
        <v/>
      </c>
      <c r="J176" s="105"/>
      <c r="K176" s="106"/>
      <c r="L176" s="106"/>
      <c r="M176" s="107" t="str">
        <f t="shared" si="412"/>
        <v/>
      </c>
      <c r="N176" s="105"/>
      <c r="O176" s="106"/>
      <c r="P176" s="106"/>
      <c r="Q176" s="107" t="str">
        <f t="shared" si="413"/>
        <v/>
      </c>
      <c r="R176" s="105"/>
      <c r="S176" s="106"/>
      <c r="T176" s="106"/>
      <c r="U176" s="107" t="str">
        <f t="shared" si="414"/>
        <v/>
      </c>
      <c r="V176" s="108">
        <f t="shared" si="415"/>
        <v>0</v>
      </c>
      <c r="W176" s="109">
        <f t="shared" si="416"/>
        <v>0</v>
      </c>
      <c r="X176" s="117">
        <f t="shared" si="417"/>
        <v>0</v>
      </c>
      <c r="Y176" s="137" t="str">
        <f t="shared" si="418"/>
        <v/>
      </c>
      <c r="Z176" s="109">
        <f t="shared" si="419"/>
        <v>0</v>
      </c>
      <c r="AA176" s="106">
        <f t="shared" si="420"/>
        <v>0</v>
      </c>
      <c r="AB176" s="111">
        <f t="shared" si="421"/>
        <v>0</v>
      </c>
      <c r="AC176" s="9"/>
      <c r="AD176" s="9"/>
      <c r="AE176" s="9"/>
      <c r="AF176" s="112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</row>
    <row r="177" ht="15.75" hidden="1" customHeight="1">
      <c r="A177" s="57"/>
      <c r="B177" s="101" t="str">
        <f t="shared" ref="B177:C177" si="425">IF(B140="","",B140)</f>
        <v/>
      </c>
      <c r="C177" s="143" t="str">
        <f t="shared" si="425"/>
        <v/>
      </c>
      <c r="D177" s="46" t="str">
        <f t="shared" si="410"/>
        <v/>
      </c>
      <c r="E177" s="144" t="str">
        <f t="shared" si="356"/>
        <v/>
      </c>
      <c r="F177" s="59"/>
      <c r="G177" s="60"/>
      <c r="H177" s="60"/>
      <c r="I177" s="61" t="str">
        <f t="shared" si="411"/>
        <v/>
      </c>
      <c r="J177" s="59"/>
      <c r="K177" s="60"/>
      <c r="L177" s="60"/>
      <c r="M177" s="61" t="str">
        <f t="shared" si="412"/>
        <v/>
      </c>
      <c r="N177" s="59"/>
      <c r="O177" s="60"/>
      <c r="P177" s="60"/>
      <c r="Q177" s="61" t="str">
        <f t="shared" si="413"/>
        <v/>
      </c>
      <c r="R177" s="59"/>
      <c r="S177" s="60"/>
      <c r="T177" s="60"/>
      <c r="U177" s="61" t="str">
        <f t="shared" si="414"/>
        <v/>
      </c>
      <c r="V177" s="104">
        <f t="shared" si="415"/>
        <v>0</v>
      </c>
      <c r="W177" s="64">
        <f t="shared" si="416"/>
        <v>0</v>
      </c>
      <c r="X177" s="65">
        <f t="shared" si="417"/>
        <v>0</v>
      </c>
      <c r="Y177" s="137" t="str">
        <f t="shared" si="418"/>
        <v/>
      </c>
      <c r="Z177" s="64">
        <f t="shared" si="419"/>
        <v>0</v>
      </c>
      <c r="AA177" s="60">
        <f t="shared" si="420"/>
        <v>0</v>
      </c>
      <c r="AB177" s="66">
        <f t="shared" si="421"/>
        <v>0</v>
      </c>
      <c r="AC177" s="9"/>
      <c r="AD177" s="9"/>
      <c r="AE177" s="9"/>
      <c r="AF177" s="112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</row>
    <row r="178" ht="15.75" hidden="1" customHeight="1">
      <c r="A178" s="72"/>
      <c r="B178" s="119" t="str">
        <f t="shared" ref="B178:C178" si="426">IF(B141="","",B141)</f>
        <v/>
      </c>
      <c r="C178" s="146" t="str">
        <f t="shared" si="426"/>
        <v/>
      </c>
      <c r="D178" s="75">
        <f>ROUND(IFERROR((D172*(G172*H172+K172*L172+O172*P172+S172*T172)+D173*(G173*H173+K173*L173+O173*P173+S173*T173)+D174*(G174*H174+K174*L174+O174*P174+S174*T174)+D175*(G175*H175+K175*L175+O175*P175+S175*T175)+D176*(G176*H176+K176*L176+O176*P176+S176*T176)+D177*(G177*H177+K177*L177+O177*P177+S177*T177))/((G172*H172+K172*L172+O172*P172+S172*T172)+(G173*H173+K173*L173+O173*P173+S173*T173)+(G174*H174+K174*L174+O174*P174+S174*T174)+(G175*H175+K175*L175+O175*P175+S175*T175)+(G176*H176+K176*L176+O176*P176+S176*T176)+(G177*H177+K177*L177+O177*P177+S177*T177)),0),2)</f>
        <v>0</v>
      </c>
      <c r="E178" s="147" t="str">
        <f t="shared" si="356"/>
        <v/>
      </c>
      <c r="F178" s="122"/>
      <c r="G178" s="123"/>
      <c r="H178" s="123"/>
      <c r="I178" s="124"/>
      <c r="J178" s="122"/>
      <c r="K178" s="123"/>
      <c r="L178" s="123"/>
      <c r="M178" s="124"/>
      <c r="N178" s="122"/>
      <c r="O178" s="123"/>
      <c r="P178" s="123"/>
      <c r="Q178" s="124"/>
      <c r="R178" s="122"/>
      <c r="S178" s="123"/>
      <c r="T178" s="123"/>
      <c r="U178" s="124"/>
      <c r="V178" s="125">
        <f>SUM(V172:V177)</f>
        <v>0</v>
      </c>
      <c r="W178" s="82">
        <f>IFERROR(V178/AA178,0)</f>
        <v>0</v>
      </c>
      <c r="X178" s="83">
        <f>ROUND(IFERROR(((I172*G172*H172+M172*K172*L172+Q172*O172*P172+U172*S172*T172)+(I173*G173*H173+M173*K173*L173+Q173*O173*P173+U173*S173*T173)+(I174*G174*H174+M174*K174*L174+Q174*O174*P174+U174*S174*T174)+(I175*G175*H175+M175*K175*L175+Q175*O175*P175+U175*S175*T175)+(I176*G176*H176+M176*K176*L176+Q176*O176*P176+U176*S176*T176)+(I177*G177*H177+M177*K177*L177+Q177*O177*P177+U177*S177*T177))/((G172*H172+K172*L172+O172*P172+S172*T172)+(G173*H173+K173*L173+O173*P173+S173*T173)+(G174*H174+K174*L174+O174*P174+S174*T174)+(G175*H175+K175*L175+O175*P175+S175*T175)+(G176*H176+K176*L176+O176*P176+S176*T176)+(G177*H177+K177*L177+O177*P177+S177*T177)),0),3)</f>
        <v>0</v>
      </c>
      <c r="Y178" s="84"/>
      <c r="Z178" s="82">
        <f t="shared" ref="Z178:AA178" si="427">SUM(Z172:Z177)</f>
        <v>0</v>
      </c>
      <c r="AA178" s="85">
        <f t="shared" si="427"/>
        <v>0</v>
      </c>
      <c r="AB178" s="86">
        <f>IF(SUM(AB172:AB177)=0,TIME(,0,),TIME(,SUM(AB172:AB177)+30,))</f>
        <v>0</v>
      </c>
      <c r="AC178" s="9"/>
      <c r="AD178" s="9"/>
      <c r="AE178" s="9"/>
      <c r="AF178" s="112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</row>
    <row r="179" ht="15.75" hidden="1" customHeight="1">
      <c r="A179" s="126" t="s">
        <v>36</v>
      </c>
      <c r="B179" s="27" t="str">
        <f t="shared" ref="B179:C179" si="428">IF(B142="","",B142)</f>
        <v/>
      </c>
      <c r="C179" s="148" t="str">
        <f t="shared" si="428"/>
        <v/>
      </c>
      <c r="D179" s="29" t="str">
        <f t="shared" ref="D179:D184" si="430">D142</f>
        <v/>
      </c>
      <c r="E179" s="30" t="str">
        <f t="shared" si="356"/>
        <v/>
      </c>
      <c r="F179" s="31"/>
      <c r="G179" s="32"/>
      <c r="H179" s="32"/>
      <c r="I179" s="33" t="str">
        <f t="shared" ref="I179:I184" si="431">IFERROR(ROUND(F179/$Y179,2),)</f>
        <v/>
      </c>
      <c r="J179" s="31"/>
      <c r="K179" s="32"/>
      <c r="L179" s="32"/>
      <c r="M179" s="33" t="str">
        <f t="shared" ref="M179:M184" si="432">IFERROR(ROUND(J179/$Y179,2),)</f>
        <v/>
      </c>
      <c r="N179" s="31"/>
      <c r="O179" s="32"/>
      <c r="P179" s="32"/>
      <c r="Q179" s="33" t="str">
        <f t="shared" ref="Q179:Q184" si="433">IFERROR(ROUND(N179/$Y179,2),)</f>
        <v/>
      </c>
      <c r="R179" s="31"/>
      <c r="S179" s="32"/>
      <c r="T179" s="32"/>
      <c r="U179" s="33" t="str">
        <f t="shared" ref="U179:U184" si="434">IFERROR(ROUND(R179/$Y179,2),)</f>
        <v/>
      </c>
      <c r="V179" s="130">
        <f t="shared" ref="V179:V184" si="435">(IF(ISNUMBER(F179),F179,1)*G179*H179+IF(ISNUMBER(J179),J179,1)*K179*L179+IF(ISNUMBER(N179),N179,1)*O179*P179+IF(ISNUMBER(R179),R179,1)*S179*T179)*IF(ISNUMBER(E179),E179,1)</f>
        <v>0</v>
      </c>
      <c r="W179" s="36">
        <f t="shared" ref="W179:W184" si="436">IFERROR((IF(ISNUMBER(F179),F179,1)*G179*H179+IF(ISNUMBER(J179),J179,1)*K179*L179+IF(ISNUMBER(N179),N179,1)*O179*P179+IF(ISNUMBER(R179),R179,1)*S179*T179)*IF(ISNUMBER(E179),E179,1)/(G179*H179+K179*L179+O179*P179+S179*T179),0)</f>
        <v>0</v>
      </c>
      <c r="X179" s="34">
        <f t="shared" ref="X179:X184" si="437">ROUND(IFERROR((W179/(Y179*IF(ISNUMBER(E179),E179,1))),0),2)</f>
        <v>0</v>
      </c>
      <c r="Y179" s="37" t="str">
        <f t="shared" ref="Y179:Y184" si="438">IF(ISNUMBER(Y142), Y142+(Y142*$Y$149),"")</f>
        <v/>
      </c>
      <c r="Z179" s="36">
        <f t="shared" ref="Z179:Z184" si="439">(IF(I179&lt;30%,0,IF(I179&lt;35%,F179*G179*H179*F!$B$33,IF(I179&lt;40%,F179*G179*H179*F!$B$38,IF(I179&lt;45%,F179*G179*H179*F!$B$43,IF(I179&lt;50%,F179*G179*H179*F!$B$48,IF(I179=50%,F179*G179*H179*F!$B$50,IF(I179=51%,F179*G179*H179*F!$B$51,IF(I179=52%,F179*G179*H179*F!$B$52,IF(I179=53%,F179*G179*H179*F!$B$53,IF(I179=54%,F179*G179*H179*F!$B$54,IF(I179=55%,F179*G179*H179*F!$B$55,IF(I179=56%,F179*G179*H179*F!$B$56,IF(I179=57%,F179*G179*H179*F!$B$57,IF(I179=58%,F179*G179*H179*F!$B$58,IF(I179=59%,F179*G179*H179*F!$B$59,IF(I179=60%,F179*G179*H179*F!$B$60,IF(I179=61%,F179*G179*H179*F!$B$61,IF(I179=62%,F179*G179*H179*F!$B$62,IF(I179=63%,F179*G179*H179*F!$B$63,IF(I179=64%,F179*G179*H179*F!$B$64,IF(I179=65%,F179*G179*H179*F!$B$65,IF(I179=66%,F179*G179*H179*F!$B$66,IF(I179=67%,F179*G179*H179*F!$B$67,IF(I179=68%,F179*G179*H179*F!$B$68,IF(I179=69%,F179*G179*H179*F!$B$69,IF(I179=70%,F179*G179*H179*F!$B$70,IF(I179=71%,F179*G179*H179*F!$B$71,IF(I179=72%,F179*G179*H179*F!$B$72,IF(I179=73%,F179*G179*H179*F!$B$73,IF(I179=74%,F179*G179*H179*F!$B$74,IF(I179=75%,F179*G179*H179*F!$B$75,IF(I179=76%,F179*G179*H179*F!$B$76,IF(I179=77%,F179*G179*H179*F!$B$77,IF(I179=78%,F179*G179*H179*F!$B$78,IF(I179=79%,F179*G179*H179*F!$B$79,IF(I179=80%,F179*G179*H179*F!$B$80,IF(I179=81%,F179*G179*H179*F!$B$81,IF(I179=82%,F179*G179*H179*F!$B$82,IF(I179=83%,F179*G179*H179*F!$B$83,IF(I179=84%,F179*G179*H179*F!$B$84,IF(I179=85%,F179*G179*H179*F!$B$85,IF(I179=86%,F179*G179*H179*F!$B$86,IF(I179=87%,F179*G179*H179*F!$B$87,IF(I179=88%,F179*G179*H179*F!$B$88,IF(I179=89%,F179*G179*H179*F!$B$89,IF(I179=90%,F179*G179*H179*F!$B$90,IF(I179=91%,F179*G179*H179*F!$B$91,IF(I179=92%,F179*G179*H179*F!$B$92,IF(I179=93%,F179*G179*H179*F!$B$93,IF(I179=94%,F179*G179*H179*F!$B$94,IF(I179=95%,F179*G179*H179*F!$B$95,IF(I179=96%,F179*G179*H179*F!$B$96,IF(I179=97%,F179*G179*H179*F!$B$97,IF(I179=98%,F179*G179*H179*F!$B$98,IF(I179=99%,F179*G179*H179*F!$B$99,IF(I179&gt;99%,F179*G179*H179*F!$B$100,))))))))))))))))))))))))))))))))))))))))))))))))))))))))+IF(M179&lt;30%,0,IF(M179&lt;35%,J179*K179*L179*F!$B$33,IF(M179&lt;40%,J179*K179*L179*F!$B$38,IF(M179&lt;45%,J179*K179*L179*F!$B$43,IF(M179&lt;50%,J179*K179*L179*F!$B$48,IF(M179=50%,J179*K179*L179*F!$B$50,IF(M179=51%,J179*K179*L179*F!$B$51,IF(M179=52%,J179*K179*L179*F!$B$52,IF(M179=53%,J179*K179*L179*F!$B$53,IF(M179=54%,J179*K179*L179*F!$B$54,IF(M179=55%,J179*K179*L179*F!$B$55,IF(M179=56%,J179*K179*L179*F!$B$56,IF(M179=57%,J179*K179*L179*F!$B$57,IF(M179=58%,J179*K179*L179*F!$B$58,IF(M179=59%,J179*K179*L179*F!$B$59,IF(M179=60%,J179*K179*L179*F!$B$60,IF(M179=61%,J179*K179*L179*F!$B$61,IF(M179=62%,J179*K179*L179*F!$B$62,IF(M179=63%,J179*K179*L179*F!$B$63,IF(M179=64%,J179*K179*L179*F!$B$64,IF(M179=65%,J179*K179*L179*F!$B$65,IF(M179=66%,J179*K179*L179*F!$B$66,IF(M179=67%,J179*K179*L179*F!$B$67,IF(M179=68%,J179*K179*L179*F!$B$68,IF(M179=69%,J179*K179*L179*F!$B$69,IF(M179=70%,J179*K179*L179*F!$B$70,IF(M179=71%,J179*K179*L179*F!$B$71,IF(M179=72%,J179*K179*L179*F!$B$72,IF(M179=73%,J179*K179*L179*F!$B$73,IF(M179=74%,J179*K179*L179*F!$B$74,IF(M179=75%,J179*K179*L179*F!$B$75,IF(M179=76%,J179*K179*L179*F!$B$76,IF(M179=77%,J179*K179*L179*F!$B$77,IF(M179=78%,J179*K179*L179*F!$B$78,IF(M179=79%,J179*K179*L179*F!$B$79,IF(M179=80%,J179*K179*L179*F!$B$80,IF(M179=81%,J179*K179*L179*F!$B$81,IF(M179=82%,J179*K179*L179*F!$B$82,IF(M179=83%,J179*K179*L179*F!$B$83,IF(M179=84%,J179*K179*L179*F!$B$84,IF(M179=85%,J179*K179*L179*F!$B$85,IF(M179=86%,J179*K179*L179*F!$B$86,IF(M179=87%,J179*K179*L179*F!$B$87,IF(M179=88%,J179*K179*L179*F!$B$88,IF(M179=89%,J179*K179*L179*F!$B$89,IF(M179=90%,J179*K179*L179*F!$B$90,IF(M179=91%,J179*K179*L179*F!$B$91,IF(M179=92%,J179*K179*L179*F!$B$92,IF(M179=93%,J179*K179*L179*F!$B$93,IF(M179=94%,J179*K179*L179*F!$B$94,IF(M179=95%,J179*K179*L179*F!$B$95,IF(M179=96%,J179*K179*L179*F!$B$96,IF(M179=97%,J179*K179*L179*F!$B$97,IF(M179=98%,J179*K179*L179*F!$B$98,IF(M179=99%,J179*K179*L179*F!$B$99,IF(M179&gt;99%,J179*K179*L179*F!$B$100,))))))))))))))))))))))))))))))))))))))))))))))))))))))))+IF(Q179&lt;30%,0,IF(Q179&lt;35%,N179*O179*P179*F!$B$33,IF(Q179&lt;40%,N179*O179*P179*F!$B$38,IF(Q179&lt;45%,N179*O179*P179*F!$B$43,IF(Q179&lt;50%,N179*O179*P179*F!$B$48,IF(Q179=50%,N179*O179*P179*F!$B$50,IF(Q179=51%,N179*O179*P179*F!$B$51,IF(Q179=52%,N179*O179*P179*F!$B$52,IF(Q179=53%,N179*O179*P179*F!$B$53,IF(Q179=54%,N179*O179*P179*F!$B$54,IF(Q179=55%,N179*O179*P179*F!$B$55,IF(Q179=56%,N179*O179*P179*F!$B$56,IF(Q179=57%,N179*O179*P179*F!$B$57,IF(Q179=58%,N179*O179*P179*F!$B$58,IF(Q179=59%,N179*O179*P179*F!$B$59,IF(Q179=60%,N179*O179*P179*F!$B$60,IF(Q179=61%,N179*O179*P179*F!$B$61,IF(Q179=62%,N179*O179*P179*F!$B$62,IF(Q179=63%,N179*O179*P179*F!$B$63,IF(Q179=64%,N179*O179*P179*F!$B$64,IF(Q179=65%,N179*O179*P179*F!$B$65,IF(Q179=66%,N179*O179*P179*F!$B$66,IF(Q179=67%,N179*O179*P179*F!$B$67,IF(Q179=68%,N179*O179*P179*F!$B$68,IF(Q179=69%,N179*O179*P179*F!$B$69,IF(Q179=70%,N179*O179*P179*F!$B$70,IF(Q179=71%,N179*O179*P179*F!$B$71,IF(Q179=72%,N179*O179*P179*F!$B$72,IF(Q179=73%,N179*O179*P179*F!$B$73,IF(Q179=74%,N179*O179*P179*F!$B$74,IF(Q179=75%,N179*O179*P179*F!$B$75,IF(Q179=76%,N179*O179*P179*F!$B$76,IF(Q179=77%,N179*O179*P179*F!$B$77,IF(Q179=78%,N179*O179*P179*F!$B$78,IF(Q179=79%,N179*O179*P179*F!$B$79,IF(Q179=80%,N179*O179*P179*F!$B$80,IF(Q179=81%,N179*O179*P179*F!$B$81,IF(Q179=82%,N179*O179*P179*F!$B$82,IF(Q179=83%,N179*O179*P179*F!$B$83,IF(Q179=84%,N179*O179*P179*F!$B$84,IF(Q179=85%,N179*O179*P179*F!$B$85,IF(Q179=86%,N179*O179*P179*F!$B$86,IF(Q179=87%,N179*O179*P179*F!$B$87,IF(Q179=88%,N179*O179*P179*F!$B$88,IF(Q179=89%,N179*O179*P179*F!$B$89,IF(Q179=90%,N179*O179*P179*F!$B$90,IF(Q179=91%,N179*O179*P179*F!$B$91,IF(Q179=92%,N179*O179*P179*F!$B$92,IF(Q179=93%,N179*O179*P179*F!$B$93,IF(Q179=94%,N179*O179*P179*F!$B$94,IF(Q179=95%,N179*O179*P179*F!$B$95,IF(Q179=96%,N179*O179*P179*F!$B$96,IF(Q179=97%,N179*O179*P179*F!$B$97,IF(Q179=98%,N179*O179*P179*F!$B$98,IF(Q179=99%,N179*O179*P179*F!$B$99,IF(Q179&gt;99%,N179*O179*P179*F!$B$100,))))))))))))))))))))))))))))))))))))))))))))))))))))))))+IF(U179&lt;30%,0,IF(U179&lt;35%,R179*S179*T179*F!$B$33,IF(U179&lt;40%,R179*S179*T179*F!$B$38,IF(U179&lt;45%,R179*S179*T179*F!$B$43,IF(U179&lt;50%,R179*S179*T179*F!$B$48,IF(U179=50%,R179*S179*T179*F!$B$50,IF(U179=51%,R179*S179*T179*F!$B$51,IF(U179=52%,R179*S179*T179*F!$B$52,IF(U179=53%,R179*S179*T179*F!$B$53,IF(U179=54%,R179*S179*T179*F!$B$54,IF(U179=55%,R179*S179*T179*F!$B$55,IF(U179=56%,R179*S179*T179*F!$B$56,IF(U179=57%,R179*S179*T179*F!$B$57,IF(U179=58%,R179*S179*T179*F!$B$58,IF(U179=59%,R179*S179*T179*F!$B$59,IF(U179=60%,R179*S179*T179*F!$B$60,IF(U179=61%,R179*S179*T179*F!$B$61,IF(U179=62%,R179*S179*T179*F!$B$62,IF(U179=63%,R179*S179*T179*F!$B$63,IF(U179=64%,R179*S179*T179*F!$B$64,IF(U179=65%,R179*S179*T179*F!$B$65,IF(U179=66%,R179*S179*T179*F!$B$66,IF(U179=67%,R179*S179*T179*F!$B$67,IF(U179=68%,R179*S179*T179*F!$B$68,IF(U179=69%,R179*S179*T179*F!$B$69,IF(U179=70%,R179*S179*T179*F!$B$70,IF(U179=71%,R179*S179*T179*F!$B$71,IF(U179=72%,R179*S179*T179*F!$B$72,IF(U179=73%,R179*S179*T179*F!$B$73,IF(U179=74%,R179*S179*T179*F!$B$74,IF(U179=75%,R179*S179*T179*F!$B$75,IF(U179=76%,R179*S179*T179*F!$B$76,IF(U179=77%,R179*S179*T179*F!$B$77,IF(U179=78%,R179*S179*T179*F!$B$78,IF(U179=79%,R179*S179*T179*F!$B$79,IF(U179=80%,R179*S179*T179*F!$B$80,IF(U179=81%,R179*S179*T179*F!$B$81,IF(U179=82%,R179*S179*T179*F!$B$82,IF(U179=83%,R179*S179*T179*F!$B$83,IF(U179=84%,R179*S179*T179*F!$B$84,IF(U179=85%,R179*S179*T179*F!$B$85,IF(U179=86%,R179*S179*T179*F!$B$86,IF(U179=87%,R179*S179*T179*F!$B$87,IF(U179=88%,R179*S179*T179*F!$B$88,IF(U179=89%,R179*S179*T179*F!$B$89,IF(U179=90%,R179*S179*T179*F!$B$90,IF(U179=91%,R179*S179*T179*F!$B$91,IF(U179=92%,R179*S179*T179*F!$B$92,IF(U179=93%,R179*S179*T179*F!$B$93,IF(U179=94%,R179*S179*T179*F!$B$94,IF(U179=95%,R179*S179*T179*F!$B$95,IF(U179=96%,R179*S179*T179*F!$B$96,IF(U179=97%,R179*S179*T179*F!$B$97,IF(U179=98%,R179*S179*T179*F!$B$98,IF(U179=99%,R179*S179*T179*F!$B$99,IF(U179&gt;99%,R179*S179*T179*F!$B$100)))))))))))))))))))))))))))))))))))))))))))))))))))))))))*IF(ISNUMBER(E179),E179,1)*IF(ISNUMBER(D179),D179,1)</f>
        <v>0</v>
      </c>
      <c r="AA179" s="32">
        <f t="shared" ref="AA179:AA184" si="440">G179*H179+K179*L179+O179*P179+S179*T179</f>
        <v>0</v>
      </c>
      <c r="AB179" s="38">
        <f t="shared" ref="AB179:AB184" si="441">(H179*(IF(I179&lt;45%,0.5,IF(I179&lt;55%,0.8,IF(I179&lt;65%,0.9,IF(I179&lt;75%,1,IF(I179&lt;85%,1.1,1.2))))))+L179*(IF(M179&lt;45%,0.5,IF(M179&lt;55%,0.8,IF(M179&lt;65%,0.9,IF(M179&lt;75%,1,IF(M179&lt;85%,1.1,1.2))))))+P179*(IF(Q179&lt;45%,0.5,IF(Q179&lt;55%,0.8,IF(Q179&lt;65%,0.9,IF(Q179&lt;75%,1,IF(Q179&lt;85%,1.1,1.2))))))+T179*(IF(U179&lt;45%,0.5,IF(U179&lt;55%,0.8,IF(U179&lt;65%,0.9,IF(U179&lt;75%,1,IF(U179&lt;85%,1.1,1.2)))))))*IF(D179&gt;=0.8,6,IF(D179&lt;=0.4,1.5,3))</f>
        <v>0</v>
      </c>
      <c r="AC179" s="9"/>
      <c r="AD179" s="9"/>
      <c r="AE179" s="9"/>
      <c r="AF179" s="112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</row>
    <row r="180" ht="15.0" hidden="1" customHeight="1">
      <c r="A180" s="142">
        <f>A173+1</f>
        <v>42365</v>
      </c>
      <c r="B180" s="44" t="str">
        <f t="shared" ref="B180:C180" si="429">IF(B143="","",B143)</f>
        <v/>
      </c>
      <c r="C180" s="149" t="str">
        <f t="shared" si="429"/>
        <v/>
      </c>
      <c r="D180" s="46" t="str">
        <f t="shared" si="430"/>
        <v/>
      </c>
      <c r="E180" s="47" t="str">
        <f t="shared" si="356"/>
        <v/>
      </c>
      <c r="F180" s="48"/>
      <c r="G180" s="49"/>
      <c r="H180" s="49"/>
      <c r="I180" s="50" t="str">
        <f t="shared" si="431"/>
        <v/>
      </c>
      <c r="J180" s="48"/>
      <c r="K180" s="49"/>
      <c r="L180" s="49"/>
      <c r="M180" s="50" t="str">
        <f t="shared" si="432"/>
        <v/>
      </c>
      <c r="N180" s="48"/>
      <c r="O180" s="49"/>
      <c r="P180" s="49"/>
      <c r="Q180" s="50" t="str">
        <f t="shared" si="433"/>
        <v/>
      </c>
      <c r="R180" s="48"/>
      <c r="S180" s="49"/>
      <c r="T180" s="49"/>
      <c r="U180" s="50" t="str">
        <f t="shared" si="434"/>
        <v/>
      </c>
      <c r="V180" s="134">
        <f t="shared" si="435"/>
        <v>0</v>
      </c>
      <c r="W180" s="53">
        <f t="shared" si="436"/>
        <v>0</v>
      </c>
      <c r="X180" s="54">
        <f t="shared" si="437"/>
        <v>0</v>
      </c>
      <c r="Y180" s="137" t="str">
        <f t="shared" si="438"/>
        <v/>
      </c>
      <c r="Z180" s="53">
        <f t="shared" si="439"/>
        <v>0</v>
      </c>
      <c r="AA180" s="49">
        <f t="shared" si="440"/>
        <v>0</v>
      </c>
      <c r="AB180" s="56">
        <f t="shared" si="441"/>
        <v>0</v>
      </c>
      <c r="AC180" s="9"/>
      <c r="AD180" s="9"/>
      <c r="AE180" s="9"/>
      <c r="AF180" s="112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</row>
    <row r="181" ht="15.75" hidden="1" customHeight="1">
      <c r="A181" s="57"/>
      <c r="B181" s="44" t="str">
        <f t="shared" ref="B181:C181" si="442">IF(B144="","",B144)</f>
        <v/>
      </c>
      <c r="C181" s="149" t="str">
        <f t="shared" si="442"/>
        <v/>
      </c>
      <c r="D181" s="46" t="str">
        <f t="shared" si="430"/>
        <v/>
      </c>
      <c r="E181" s="47" t="str">
        <f t="shared" si="356"/>
        <v/>
      </c>
      <c r="F181" s="59"/>
      <c r="G181" s="60"/>
      <c r="H181" s="60"/>
      <c r="I181" s="61" t="str">
        <f t="shared" si="431"/>
        <v/>
      </c>
      <c r="J181" s="59"/>
      <c r="K181" s="60"/>
      <c r="L181" s="60"/>
      <c r="M181" s="61" t="str">
        <f t="shared" si="432"/>
        <v/>
      </c>
      <c r="N181" s="59"/>
      <c r="O181" s="60"/>
      <c r="P181" s="60"/>
      <c r="Q181" s="61" t="str">
        <f t="shared" si="433"/>
        <v/>
      </c>
      <c r="R181" s="59"/>
      <c r="S181" s="60"/>
      <c r="T181" s="60"/>
      <c r="U181" s="61" t="str">
        <f t="shared" si="434"/>
        <v/>
      </c>
      <c r="V181" s="104">
        <f t="shared" si="435"/>
        <v>0</v>
      </c>
      <c r="W181" s="64">
        <f t="shared" si="436"/>
        <v>0</v>
      </c>
      <c r="X181" s="65">
        <f t="shared" si="437"/>
        <v>0</v>
      </c>
      <c r="Y181" s="137" t="str">
        <f t="shared" si="438"/>
        <v/>
      </c>
      <c r="Z181" s="64">
        <f t="shared" si="439"/>
        <v>0</v>
      </c>
      <c r="AA181" s="60">
        <f t="shared" si="440"/>
        <v>0</v>
      </c>
      <c r="AB181" s="66">
        <f t="shared" si="441"/>
        <v>0</v>
      </c>
      <c r="AC181" s="9"/>
      <c r="AD181" s="9"/>
      <c r="AE181" s="9"/>
      <c r="AF181" s="112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</row>
    <row r="182" ht="15.75" hidden="1" customHeight="1">
      <c r="A182" s="57"/>
      <c r="B182" s="44" t="str">
        <f t="shared" ref="B182:C182" si="443">IF(B145="","",B145)</f>
        <v/>
      </c>
      <c r="C182" s="149" t="str">
        <f t="shared" si="443"/>
        <v/>
      </c>
      <c r="D182" s="46" t="str">
        <f t="shared" si="430"/>
        <v/>
      </c>
      <c r="E182" s="47" t="str">
        <f t="shared" si="356"/>
        <v/>
      </c>
      <c r="F182" s="48"/>
      <c r="G182" s="49"/>
      <c r="H182" s="49"/>
      <c r="I182" s="50" t="str">
        <f t="shared" si="431"/>
        <v/>
      </c>
      <c r="J182" s="48"/>
      <c r="K182" s="49"/>
      <c r="L182" s="49"/>
      <c r="M182" s="50" t="str">
        <f t="shared" si="432"/>
        <v/>
      </c>
      <c r="N182" s="48"/>
      <c r="O182" s="49"/>
      <c r="P182" s="49"/>
      <c r="Q182" s="50" t="str">
        <f t="shared" si="433"/>
        <v/>
      </c>
      <c r="R182" s="48"/>
      <c r="S182" s="49"/>
      <c r="T182" s="49"/>
      <c r="U182" s="50" t="str">
        <f t="shared" si="434"/>
        <v/>
      </c>
      <c r="V182" s="134">
        <f t="shared" si="435"/>
        <v>0</v>
      </c>
      <c r="W182" s="53">
        <f t="shared" si="436"/>
        <v>0</v>
      </c>
      <c r="X182" s="54">
        <f t="shared" si="437"/>
        <v>0</v>
      </c>
      <c r="Y182" s="137" t="str">
        <f t="shared" si="438"/>
        <v/>
      </c>
      <c r="Z182" s="53">
        <f t="shared" si="439"/>
        <v>0</v>
      </c>
      <c r="AA182" s="49">
        <f t="shared" si="440"/>
        <v>0</v>
      </c>
      <c r="AB182" s="56">
        <f t="shared" si="441"/>
        <v>0</v>
      </c>
      <c r="AC182" s="9"/>
      <c r="AD182" s="9"/>
      <c r="AE182" s="9"/>
      <c r="AF182" s="112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</row>
    <row r="183" ht="15.75" hidden="1" customHeight="1">
      <c r="A183" s="57"/>
      <c r="B183" s="44" t="str">
        <f t="shared" ref="B183:C183" si="444">IF(B146="","",B146)</f>
        <v/>
      </c>
      <c r="C183" s="149" t="str">
        <f t="shared" si="444"/>
        <v/>
      </c>
      <c r="D183" s="46" t="str">
        <f t="shared" si="430"/>
        <v/>
      </c>
      <c r="E183" s="47" t="str">
        <f t="shared" si="356"/>
        <v/>
      </c>
      <c r="F183" s="59"/>
      <c r="G183" s="60"/>
      <c r="H183" s="60"/>
      <c r="I183" s="61" t="str">
        <f t="shared" si="431"/>
        <v/>
      </c>
      <c r="J183" s="59"/>
      <c r="K183" s="60"/>
      <c r="L183" s="60"/>
      <c r="M183" s="61" t="str">
        <f t="shared" si="432"/>
        <v/>
      </c>
      <c r="N183" s="59"/>
      <c r="O183" s="60"/>
      <c r="P183" s="60"/>
      <c r="Q183" s="61" t="str">
        <f t="shared" si="433"/>
        <v/>
      </c>
      <c r="R183" s="59"/>
      <c r="S183" s="60"/>
      <c r="T183" s="60"/>
      <c r="U183" s="61" t="str">
        <f t="shared" si="434"/>
        <v/>
      </c>
      <c r="V183" s="104">
        <f t="shared" si="435"/>
        <v>0</v>
      </c>
      <c r="W183" s="64">
        <f t="shared" si="436"/>
        <v>0</v>
      </c>
      <c r="X183" s="62">
        <f t="shared" si="437"/>
        <v>0</v>
      </c>
      <c r="Y183" s="137" t="str">
        <f t="shared" si="438"/>
        <v/>
      </c>
      <c r="Z183" s="64">
        <f t="shared" si="439"/>
        <v>0</v>
      </c>
      <c r="AA183" s="60">
        <f t="shared" si="440"/>
        <v>0</v>
      </c>
      <c r="AB183" s="66">
        <f t="shared" si="441"/>
        <v>0</v>
      </c>
      <c r="AC183" s="9"/>
      <c r="AD183" s="9"/>
      <c r="AE183" s="9"/>
      <c r="AF183" s="112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</row>
    <row r="184" ht="15.75" hidden="1" customHeight="1">
      <c r="A184" s="57"/>
      <c r="B184" s="44" t="str">
        <f t="shared" ref="B184:C184" si="445">IF(B147="","",B147)</f>
        <v/>
      </c>
      <c r="C184" s="149" t="str">
        <f t="shared" si="445"/>
        <v/>
      </c>
      <c r="D184" s="46" t="str">
        <f t="shared" si="430"/>
        <v/>
      </c>
      <c r="E184" s="47" t="str">
        <f t="shared" si="356"/>
        <v/>
      </c>
      <c r="F184" s="48"/>
      <c r="G184" s="49"/>
      <c r="H184" s="49"/>
      <c r="I184" s="50" t="str">
        <f t="shared" si="431"/>
        <v/>
      </c>
      <c r="J184" s="48"/>
      <c r="K184" s="49"/>
      <c r="L184" s="49"/>
      <c r="M184" s="50" t="str">
        <f t="shared" si="432"/>
        <v/>
      </c>
      <c r="N184" s="48"/>
      <c r="O184" s="49"/>
      <c r="P184" s="49"/>
      <c r="Q184" s="50" t="str">
        <f t="shared" si="433"/>
        <v/>
      </c>
      <c r="R184" s="48"/>
      <c r="S184" s="49"/>
      <c r="T184" s="49"/>
      <c r="U184" s="50" t="str">
        <f t="shared" si="434"/>
        <v/>
      </c>
      <c r="V184" s="134">
        <f t="shared" si="435"/>
        <v>0</v>
      </c>
      <c r="W184" s="53">
        <f t="shared" si="436"/>
        <v>0</v>
      </c>
      <c r="X184" s="54">
        <f t="shared" si="437"/>
        <v>0</v>
      </c>
      <c r="Y184" s="137" t="str">
        <f t="shared" si="438"/>
        <v/>
      </c>
      <c r="Z184" s="53">
        <f t="shared" si="439"/>
        <v>0</v>
      </c>
      <c r="AA184" s="49">
        <f t="shared" si="440"/>
        <v>0</v>
      </c>
      <c r="AB184" s="56">
        <f t="shared" si="441"/>
        <v>0</v>
      </c>
      <c r="AC184" s="9"/>
      <c r="AD184" s="9"/>
      <c r="AE184" s="9"/>
      <c r="AF184" s="112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</row>
    <row r="185" ht="15.75" hidden="1" customHeight="1">
      <c r="A185" s="72"/>
      <c r="B185" s="73" t="str">
        <f t="shared" ref="B185:C185" si="446">IF(B148="","",B148)</f>
        <v/>
      </c>
      <c r="C185" s="150" t="str">
        <f t="shared" si="446"/>
        <v/>
      </c>
      <c r="D185" s="75">
        <f>ROUND(IFERROR((D179*(G179*H179+K179*L179+O179*P179+S179*T179)+D180*(G180*H180+K180*L180+O180*P180+S180*T180)+D181*(G181*H181+K181*L181+O181*P181+S181*T181)+D182*(G182*H182+K182*L182+O182*P182+S182*T182)+D183*(G183*H183+K183*L183+O183*P183+S183*T183)+D184*(G184*H184+K184*L184+O184*P184+S184*T184))/((G179*H179+K179*L179+O179*P179+S179*T179)+(G180*H180+K180*L180+O180*P180+S180*T180)+(G181*H181+K181*L181+O181*P181+S181*T181)+(G182*H182+K182*L182+O182*P182+S182*T182)+(G183*H183+K183*L183+O183*P183+S183*T183)+(G184*H184+K184*L184+O184*P184+S184*T184)),0),2)</f>
        <v>0</v>
      </c>
      <c r="E185" s="76" t="str">
        <f t="shared" si="356"/>
        <v/>
      </c>
      <c r="F185" s="77"/>
      <c r="G185" s="78"/>
      <c r="H185" s="78"/>
      <c r="I185" s="79"/>
      <c r="J185" s="77"/>
      <c r="K185" s="78"/>
      <c r="L185" s="78"/>
      <c r="M185" s="79"/>
      <c r="N185" s="77"/>
      <c r="O185" s="78"/>
      <c r="P185" s="78"/>
      <c r="Q185" s="79"/>
      <c r="R185" s="77"/>
      <c r="S185" s="78"/>
      <c r="T185" s="78"/>
      <c r="U185" s="79"/>
      <c r="V185" s="125">
        <f>SUM(V179:V184)</f>
        <v>0</v>
      </c>
      <c r="W185" s="82">
        <f t="shared" ref="W185:W186" si="448">IFERROR(V185/AA185,0)</f>
        <v>0</v>
      </c>
      <c r="X185" s="83">
        <f>ROUND(IFERROR(((I179*G179*H179+M179*K179*L179+Q179*O179*P179+U179*S179*T179)+(I180*G180*H180+M180*K180*L180+Q180*O180*P180+U180*S180*T180)+(I181*G181*H181+M181*K181*L181+Q181*O181*P181+U181*S181*T181)+(I182*G182*H182+M182*K182*L182+Q182*O182*P182+U182*S182*T182)+(I183*G183*H183+M183*K183*L183+Q183*O183*P183+U183*S183*T183)+(I184*G184*H184+M184*K184*L184+Q184*O184*P184+U184*S184*T184))/((G179*H179+K179*L179+O179*P179+S179*T179)+(G180*H180+K180*L180+O180*P180+S180*T180)+(G181*H181+K181*L181+O181*P181+S181*T181)+(G182*H182+K182*L182+O182*P182+S182*T182)+(G183*H183+K183*L183+O183*P183+S183*T183)+(G184*H184+K184*L184+O184*P184+S184*T184)),0),3)</f>
        <v>0</v>
      </c>
      <c r="Y185" s="84"/>
      <c r="Z185" s="82">
        <f t="shared" ref="Z185:AA185" si="447">SUM(Z179:Z184)</f>
        <v>0</v>
      </c>
      <c r="AA185" s="85">
        <f t="shared" si="447"/>
        <v>0</v>
      </c>
      <c r="AB185" s="86">
        <f>IF(SUM(AB179:AB184)=0,TIME(,0,),TIME(,SUM(AB179:AB184)+30,))</f>
        <v>0</v>
      </c>
      <c r="AC185" s="9"/>
      <c r="AD185" s="9"/>
      <c r="AE185" s="9"/>
      <c r="AF185" s="112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</row>
    <row r="186" ht="15.75" customHeight="1">
      <c r="A186" s="151" t="s">
        <v>51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3"/>
      <c r="V186" s="152">
        <f>V194+V201+V208+V215+V222</f>
        <v>14779.2</v>
      </c>
      <c r="W186" s="153">
        <f t="shared" si="448"/>
        <v>19.86451613</v>
      </c>
      <c r="X186" s="154"/>
      <c r="Y186" s="155">
        <v>0.01</v>
      </c>
      <c r="Z186" s="156" t="str">
        <f t="shared" ref="Z186:AB186" si="449">Z194+Z201+Z208+Z215+Z222</f>
        <v>#REF!</v>
      </c>
      <c r="AA186" s="154">
        <f t="shared" si="449"/>
        <v>744</v>
      </c>
      <c r="AB186" s="157">
        <f t="shared" si="449"/>
        <v>0.1833333333</v>
      </c>
      <c r="AC186" s="9"/>
      <c r="AD186" s="9"/>
      <c r="AE186" s="9"/>
      <c r="AF186" s="112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</row>
    <row r="187" ht="15.75" customHeight="1">
      <c r="A187" s="15" t="s">
        <v>1</v>
      </c>
      <c r="B187" s="158" t="s">
        <v>2</v>
      </c>
      <c r="C187" s="159" t="s">
        <v>3</v>
      </c>
      <c r="D187" s="160" t="s">
        <v>46</v>
      </c>
      <c r="E187" s="18" t="s">
        <v>5</v>
      </c>
      <c r="F187" s="158" t="s">
        <v>6</v>
      </c>
      <c r="G187" s="158" t="s">
        <v>7</v>
      </c>
      <c r="H187" s="158" t="s">
        <v>8</v>
      </c>
      <c r="I187" s="158" t="s">
        <v>9</v>
      </c>
      <c r="J187" s="158" t="s">
        <v>6</v>
      </c>
      <c r="K187" s="158" t="s">
        <v>7</v>
      </c>
      <c r="L187" s="158" t="s">
        <v>8</v>
      </c>
      <c r="M187" s="158" t="s">
        <v>9</v>
      </c>
      <c r="N187" s="158" t="s">
        <v>6</v>
      </c>
      <c r="O187" s="158" t="s">
        <v>7</v>
      </c>
      <c r="P187" s="158" t="s">
        <v>8</v>
      </c>
      <c r="Q187" s="158" t="s">
        <v>9</v>
      </c>
      <c r="R187" s="158" t="s">
        <v>6</v>
      </c>
      <c r="S187" s="158" t="s">
        <v>7</v>
      </c>
      <c r="T187" s="158" t="s">
        <v>8</v>
      </c>
      <c r="U187" s="158" t="s">
        <v>9</v>
      </c>
      <c r="V187" s="158" t="s">
        <v>10</v>
      </c>
      <c r="W187" s="160" t="s">
        <v>11</v>
      </c>
      <c r="X187" s="160" t="s">
        <v>12</v>
      </c>
      <c r="Y187" s="181" t="s">
        <v>13</v>
      </c>
      <c r="Z187" s="162" t="s">
        <v>14</v>
      </c>
      <c r="AA187" s="158" t="s">
        <v>15</v>
      </c>
      <c r="AB187" s="163" t="s">
        <v>16</v>
      </c>
      <c r="AC187" s="9"/>
      <c r="AD187" s="9"/>
      <c r="AE187" s="9"/>
      <c r="AF187" s="112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</row>
    <row r="188" ht="15.75" customHeight="1">
      <c r="A188" s="26" t="s">
        <v>17</v>
      </c>
      <c r="B188" s="27" t="s">
        <v>20</v>
      </c>
      <c r="C188" s="148" t="str">
        <f t="shared" ref="C188:C190" si="450">IF(C151="","",C151)</f>
        <v>Ягодичный мост со штангой</v>
      </c>
      <c r="D188" s="29">
        <f t="shared" ref="D188:D193" si="451">D151</f>
        <v>1</v>
      </c>
      <c r="E188" s="30" t="str">
        <f t="shared" ref="E188:E222" si="452">IF(E151="","",E151)</f>
        <v/>
      </c>
      <c r="F188" s="31">
        <f t="shared" ref="F188:F193" si="453">IF(I188&lt;&gt;0,(IFERROR(IF($Y188&gt;50,MROUND($Y188*I188,2.5),IF($Y188&lt;15,MROUND($Y188*I188,0.1),MROUND($Y188*I188,1))),)),"")</f>
        <v>37.5</v>
      </c>
      <c r="G188" s="32">
        <v>12.0</v>
      </c>
      <c r="H188" s="32">
        <v>3.0</v>
      </c>
      <c r="I188" s="33">
        <v>0.4</v>
      </c>
      <c r="J188" s="31" t="str">
        <f t="shared" ref="J188:J193" si="454">IF(M188&lt;&gt;0,(IFERROR(IF($Y188&gt;50,MROUND($Y188*M188,2.5),IF($Y188&lt;15,MROUND($Y188*M188,0.1),MROUND($Y188*M188,1))),)),"")</f>
        <v/>
      </c>
      <c r="K188" s="32"/>
      <c r="L188" s="32"/>
      <c r="M188" s="33">
        <v>0.0</v>
      </c>
      <c r="N188" s="31" t="str">
        <f t="shared" ref="N188:N193" si="455">IF(Q188&lt;&gt;0,(IFERROR(IF($Y188&gt;50,MROUND($Y188*Q188,2.5),IF($Y188&lt;15,MROUND($Y188*Q188,0.1),MROUND($Y188*Q188,1))),)),"")</f>
        <v/>
      </c>
      <c r="O188" s="32"/>
      <c r="P188" s="32"/>
      <c r="Q188" s="33">
        <v>0.0</v>
      </c>
      <c r="R188" s="31" t="str">
        <f t="shared" ref="R188:R193" si="456">IF(U188&lt;&gt;0,(IFERROR(IF($Y188&gt;50,MROUND($Y188*U188,2.5),IF($Y188&lt;15,MROUND($Y188*U188,0.1),MROUND($Y188*U188,1))),)),"")</f>
        <v/>
      </c>
      <c r="S188" s="32"/>
      <c r="T188" s="32"/>
      <c r="U188" s="34">
        <v>0.0</v>
      </c>
      <c r="V188" s="35">
        <f t="shared" ref="V188:V193" si="457">(IF(ISNUMBER(F188),F188,1)*G188*H188+IF(ISNUMBER(J188),J188,1)*K188*L188+IF(ISNUMBER(N188),N188,1)*O188*P188+IF(ISNUMBER(R188),R188,1)*S188*T188)*IF(ISNUMBER(E188),E188,1)</f>
        <v>1350</v>
      </c>
      <c r="W188" s="36">
        <f t="shared" ref="W188:W193" si="458">IFERROR((IF(ISNUMBER(F188),F188,1)*G188*H188+IF(ISNUMBER(J188),J188,1)*K188*L188+IF(ISNUMBER(N188),N188,1)*O188*P188+IF(ISNUMBER(R188),R188,1)*S188*T188)*IF(ISNUMBER(E188),E188,1)/(G188*H188+K188*L188+O188*P188+S188*T188),0)</f>
        <v>37.5</v>
      </c>
      <c r="X188" s="34">
        <f t="shared" ref="X188:X193" si="459">ROUND(IFERROR((W188/(Y188*IF(ISNUMBER(E188),E188,1))),0),2)</f>
        <v>0.4</v>
      </c>
      <c r="Y188" s="37">
        <f t="shared" ref="Y188:Y193" si="460">IF(ISNUMBER(Y151), Y151+(Y151*$Y$186),"")</f>
        <v>94.59090451</v>
      </c>
      <c r="Z188" s="36" t="str">
        <f t="shared" ref="Z188:Z193" si="461">(IF(I188&lt;30%,0,IF(I188&lt;35%,F188*G188*H188*F!$B$33,IF(I188&lt;40%,F188*G188*H188*F!$B$38,IF(I188&lt;45%,F188*G188*H188*F!$B$43,IF(I188&lt;50%,F188*G188*H188*F!$B$48,IF(I188=50%,F188*G188*H188*F!$B$50,IF(I188=51%,F188*G188*H188*F!$B$51,IF(I188=52%,F188*G188*H188*F!$B$52,IF(I188=53%,F188*G188*H188*F!$B$53,IF(I188=54%,F188*G188*H188*F!$B$54,IF(I188=55%,F188*G188*H188*F!$B$55,IF(I188=56%,F188*G188*H188*F!$B$56,IF(I188=57%,F188*G188*H188*F!$B$57,IF(I188=58%,F188*G188*H188*F!$B$58,IF(I188=59%,F188*G188*H188*F!$B$59,IF(I188=60%,F188*G188*H188*F!$B$60,IF(I188=61%,F188*G188*H188*F!$B$61,IF(I188=62%,F188*G188*H188*F!$B$62,IF(I188=63%,F188*G188*H188*F!$B$63,IF(I188=64%,F188*G188*H188*F!$B$64,IF(I188=65%,F188*G188*H188*F!$B$65,IF(I188=66%,F188*G188*H188*F!$B$66,IF(I188=67%,F188*G188*H188*F!$B$67,IF(I188=68%,F188*G188*H188*F!$B$68,IF(I188=69%,F188*G188*H188*F!$B$69,IF(I188=70%,F188*G188*H188*F!$B$70,IF(I188=71%,F188*G188*H188*F!$B$71,IF(I188=72%,F188*G188*H188*F!$B$72,IF(I188=73%,F188*G188*H188*F!$B$73,IF(I188=74%,F188*G188*H188*F!$B$74,IF(I188=75%,F188*G188*H188*F!$B$75,IF(I188=76%,F188*G188*H188*F!$B$76,IF(I188=77%,F188*G188*H188*F!$B$77,IF(I188=78%,F188*G188*H188*F!$B$78,IF(I188=79%,F188*G188*H188*F!$B$79,IF(I188=80%,F188*G188*H188*F!$B$80,IF(I188=81%,F188*G188*H188*F!$B$81,IF(I188=82%,F188*G188*H188*F!$B$82,IF(I188=83%,F188*G188*H188*F!$B$83,IF(I188=84%,F188*G188*H188*F!$B$84,IF(I188=85%,F188*G188*H188*F!$B$85,IF(I188=86%,F188*G188*H188*F!$B$86,IF(I188=87%,F188*G188*H188*F!$B$87,IF(I188=88%,F188*G188*H188*F!$B$88,IF(I188=89%,F188*G188*H188*F!$B$89,IF(I188=90%,F188*G188*H188*F!$B$90,IF(I188=91%,F188*G188*H188*F!$B$91,IF(I188=92%,F188*G188*H188*F!$B$92,IF(I188=93%,F188*G188*H188*F!$B$93,IF(I188=94%,F188*G188*H188*F!$B$94,IF(I188=95%,F188*G188*H188*F!$B$95,IF(I188=96%,F188*G188*H188*F!$B$96,IF(I188=97%,F188*G188*H188*F!$B$97,IF(I188=98%,F188*G188*H188*F!$B$98,IF(I188=99%,F188*G188*H188*F!$B$99,IF(I188&gt;99%,F188*G188*H188*F!$B$100,))))))))))))))))))))))))))))))))))))))))))))))))))))))))+IF(M188&lt;30%,0,IF(M188&lt;35%,J188*K188*L188*F!$B$33,IF(M188&lt;40%,J188*K188*L188*F!$B$38,IF(M188&lt;45%,J188*K188*L188*F!$B$43,IF(M188&lt;50%,J188*K188*L188*F!$B$48,IF(M188=50%,J188*K188*L188*F!$B$50,IF(M188=51%,J188*K188*L188*F!$B$51,IF(M188=52%,J188*K188*L188*F!$B$52,IF(M188=53%,J188*K188*L188*F!$B$53,IF(M188=54%,J188*K188*L188*F!$B$54,IF(M188=55%,J188*K188*L188*F!$B$55,IF(M188=56%,J188*K188*L188*F!$B$56,IF(M188=57%,J188*K188*L188*F!$B$57,IF(M188=58%,J188*K188*L188*F!$B$58,IF(M188=59%,J188*K188*L188*F!$B$59,IF(M188=60%,J188*K188*L188*F!$B$60,IF(M188=61%,J188*K188*L188*F!$B$61,IF(M188=62%,J188*K188*L188*F!$B$62,IF(M188=63%,J188*K188*L188*F!$B$63,IF(M188=64%,J188*K188*L188*F!$B$64,IF(M188=65%,J188*K188*L188*F!$B$65,IF(M188=66%,J188*K188*L188*F!$B$66,IF(M188=67%,J188*K188*L188*F!$B$67,IF(M188=68%,J188*K188*L188*F!$B$68,IF(M188=69%,J188*K188*L188*F!$B$69,IF(M188=70%,J188*K188*L188*F!$B$70,IF(M188=71%,J188*K188*L188*F!$B$71,IF(M188=72%,J188*K188*L188*F!$B$72,IF(M188=73%,J188*K188*L188*F!$B$73,IF(M188=74%,J188*K188*L188*F!$B$74,IF(M188=75%,J188*K188*L188*F!$B$75,IF(M188=76%,J188*K188*L188*F!$B$76,IF(M188=77%,J188*K188*L188*F!$B$77,IF(M188=78%,J188*K188*L188*F!$B$78,IF(M188=79%,J188*K188*L188*F!$B$79,IF(M188=80%,J188*K188*L188*F!$B$80,IF(M188=81%,J188*K188*L188*F!$B$81,IF(M188=82%,J188*K188*L188*F!$B$82,IF(M188=83%,J188*K188*L188*F!$B$83,IF(M188=84%,J188*K188*L188*F!$B$84,IF(M188=85%,J188*K188*L188*F!$B$85,IF(M188=86%,J188*K188*L188*F!$B$86,IF(M188=87%,J188*K188*L188*F!$B$87,IF(M188=88%,J188*K188*L188*F!$B$88,IF(M188=89%,J188*K188*L188*F!$B$89,IF(M188=90%,J188*K188*L188*F!$B$90,IF(M188=91%,J188*K188*L188*F!$B$91,IF(M188=92%,J188*K188*L188*F!$B$92,IF(M188=93%,J188*K188*L188*F!$B$93,IF(M188=94%,J188*K188*L188*F!$B$94,IF(M188=95%,J188*K188*L188*F!$B$95,IF(M188=96%,J188*K188*L188*F!$B$96,IF(M188=97%,J188*K188*L188*F!$B$97,IF(M188=98%,J188*K188*L188*F!$B$98,IF(M188=99%,J188*K188*L188*F!$B$99,IF(M188&gt;99%,J188*K188*L188*F!$B$100,))))))))))))))))))))))))))))))))))))))))))))))))))))))))+IF(Q188&lt;30%,0,IF(Q188&lt;35%,N188*O188*P188*F!$B$33,IF(Q188&lt;40%,N188*O188*P188*F!$B$38,IF(Q188&lt;45%,N188*O188*P188*F!$B$43,IF(Q188&lt;50%,N188*O188*P188*F!$B$48,IF(Q188=50%,N188*O188*P188*F!$B$50,IF(Q188=51%,N188*O188*P188*F!$B$51,IF(Q188=52%,N188*O188*P188*F!$B$52,IF(Q188=53%,N188*O188*P188*F!$B$53,IF(Q188=54%,N188*O188*P188*F!$B$54,IF(Q188=55%,N188*O188*P188*F!$B$55,IF(Q188=56%,N188*O188*P188*F!$B$56,IF(Q188=57%,N188*O188*P188*F!$B$57,IF(Q188=58%,N188*O188*P188*F!$B$58,IF(Q188=59%,N188*O188*P188*F!$B$59,IF(Q188=60%,N188*O188*P188*F!$B$60,IF(Q188=61%,N188*O188*P188*F!$B$61,IF(Q188=62%,N188*O188*P188*F!$B$62,IF(Q188=63%,N188*O188*P188*F!$B$63,IF(Q188=64%,N188*O188*P188*F!$B$64,IF(Q188=65%,N188*O188*P188*F!$B$65,IF(Q188=66%,N188*O188*P188*F!$B$66,IF(Q188=67%,N188*O188*P188*F!$B$67,IF(Q188=68%,N188*O188*P188*F!$B$68,IF(Q188=69%,N188*O188*P188*F!$B$69,IF(Q188=70%,N188*O188*P188*F!$B$70,IF(Q188=71%,N188*O188*P188*F!$B$71,IF(Q188=72%,N188*O188*P188*F!$B$72,IF(Q188=73%,N188*O188*P188*F!$B$73,IF(Q188=74%,N188*O188*P188*F!$B$74,IF(Q188=75%,N188*O188*P188*F!$B$75,IF(Q188=76%,N188*O188*P188*F!$B$76,IF(Q188=77%,N188*O188*P188*F!$B$77,IF(Q188=78%,N188*O188*P188*F!$B$78,IF(Q188=79%,N188*O188*P188*F!$B$79,IF(Q188=80%,N188*O188*P188*F!$B$80,IF(Q188=81%,N188*O188*P188*F!$B$81,IF(Q188=82%,N188*O188*P188*F!$B$82,IF(Q188=83%,N188*O188*P188*F!$B$83,IF(Q188=84%,N188*O188*P188*F!$B$84,IF(Q188=85%,N188*O188*P188*F!$B$85,IF(Q188=86%,N188*O188*P188*F!$B$86,IF(Q188=87%,N188*O188*P188*F!$B$87,IF(Q188=88%,N188*O188*P188*F!$B$88,IF(Q188=89%,N188*O188*P188*F!$B$89,IF(Q188=90%,N188*O188*P188*F!$B$90,IF(Q188=91%,N188*O188*P188*F!$B$91,IF(Q188=92%,N188*O188*P188*F!$B$92,IF(Q188=93%,N188*O188*P188*F!$B$93,IF(Q188=94%,N188*O188*P188*F!$B$94,IF(Q188=95%,N188*O188*P188*F!$B$95,IF(Q188=96%,N188*O188*P188*F!$B$96,IF(Q188=97%,N188*O188*P188*F!$B$97,IF(Q188=98%,N188*O188*P188*F!$B$98,IF(Q188=99%,N188*O188*P188*F!$B$99,IF(Q188&gt;99%,N188*O188*P188*F!$B$100,))))))))))))))))))))))))))))))))))))))))))))))))))))))))+IF(U188&lt;30%,0,IF(U188&lt;35%,R188*S188*T188*F!$B$33,IF(U188&lt;40%,R188*S188*T188*F!$B$38,IF(U188&lt;45%,R188*S188*T188*F!$B$43,IF(U188&lt;50%,R188*S188*T188*F!$B$48,IF(U188=50%,R188*S188*T188*F!$B$50,IF(U188=51%,R188*S188*T188*F!$B$51,IF(U188=52%,R188*S188*T188*F!$B$52,IF(U188=53%,R188*S188*T188*F!$B$53,IF(U188=54%,R188*S188*T188*F!$B$54,IF(U188=55%,R188*S188*T188*F!$B$55,IF(U188=56%,R188*S188*T188*F!$B$56,IF(U188=57%,R188*S188*T188*F!$B$57,IF(U188=58%,R188*S188*T188*F!$B$58,IF(U188=59%,R188*S188*T188*F!$B$59,IF(U188=60%,R188*S188*T188*F!$B$60,IF(U188=61%,R188*S188*T188*F!$B$61,IF(U188=62%,R188*S188*T188*F!$B$62,IF(U188=63%,R188*S188*T188*F!$B$63,IF(U188=64%,R188*S188*T188*F!$B$64,IF(U188=65%,R188*S188*T188*F!$B$65,IF(U188=66%,R188*S188*T188*F!$B$66,IF(U188=67%,R188*S188*T188*F!$B$67,IF(U188=68%,R188*S188*T188*F!$B$68,IF(U188=69%,R188*S188*T188*F!$B$69,IF(U188=70%,R188*S188*T188*F!$B$70,IF(U188=71%,R188*S188*T188*F!$B$71,IF(U188=72%,R188*S188*T188*F!$B$72,IF(U188=73%,R188*S188*T188*F!$B$73,IF(U188=74%,R188*S188*T188*F!$B$74,IF(U188=75%,R188*S188*T188*F!$B$75,IF(U188=76%,R188*S188*T188*F!$B$76,IF(U188=77%,R188*S188*T188*F!$B$77,IF(U188=78%,R188*S188*T188*F!$B$78,IF(U188=79%,R188*S188*T188*F!$B$79,IF(U188=80%,R188*S188*T188*F!$B$80,IF(U188=81%,R188*S188*T188*F!$B$81,IF(U188=82%,R188*S188*T188*F!$B$82,IF(U188=83%,R188*S188*T188*F!$B$83,IF(U188=84%,R188*S188*T188*F!$B$84,IF(U188=85%,R188*S188*T188*F!$B$85,IF(U188=86%,R188*S188*T188*F!$B$86,IF(U188=87%,R188*S188*T188*F!$B$87,IF(U188=88%,R188*S188*T188*F!$B$88,IF(U188=89%,R188*S188*T188*F!$B$89,IF(U188=90%,R188*S188*T188*F!$B$90,IF(U188=91%,R188*S188*T188*F!$B$91,IF(U188=92%,R188*S188*T188*F!$B$92,IF(U188=93%,R188*S188*T188*F!$B$93,IF(U188=94%,R188*S188*T188*F!$B$94,IF(U188=95%,R188*S188*T188*F!$B$95,IF(U188=96%,R188*S188*T188*F!$B$96,IF(U188=97%,R188*S188*T188*F!$B$97,IF(U188=98%,R188*S188*T188*F!$B$98,IF(U188=99%,R188*S188*T188*F!$B$99,IF(U188&gt;99%,R188*S188*T188*F!$B$100)))))))))))))))))))))))))))))))))))))))))))))))))))))))))*IF(ISNUMBER(E188),E188,1)*IF(ISNUMBER(D188),D188,1)</f>
        <v>#REF!</v>
      </c>
      <c r="AA188" s="32">
        <f t="shared" ref="AA188:AA193" si="462">G188*H188+K188*L188+O188*P188+S188*T188</f>
        <v>36</v>
      </c>
      <c r="AB188" s="38">
        <f t="shared" ref="AB188:AB193" si="463">(H188*(IF(I188&lt;45%,0.5,IF(I188&lt;55%,0.8,IF(I188&lt;65%,0.9,IF(I188&lt;75%,1,IF(I188&lt;85%,1.1,1.2))))))+L188*(IF(M188&lt;45%,0.5,IF(M188&lt;55%,0.8,IF(M188&lt;65%,0.9,IF(M188&lt;75%,1,IF(M188&lt;85%,1.1,1.2))))))+P188*(IF(Q188&lt;45%,0.5,IF(Q188&lt;55%,0.8,IF(Q188&lt;65%,0.9,IF(Q188&lt;75%,1,IF(Q188&lt;85%,1.1,1.2))))))+T188*(IF(U188&lt;45%,0.5,IF(U188&lt;55%,0.8,IF(U188&lt;65%,0.9,IF(U188&lt;75%,1,IF(U188&lt;85%,1.1,1.2)))))))*IF(D188&gt;=0.8,6,IF(D188&lt;=0.4,1.5,3))</f>
        <v>9</v>
      </c>
      <c r="AC188" s="9"/>
      <c r="AD188" s="9"/>
      <c r="AE188" s="9"/>
      <c r="AF188" s="112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</row>
    <row r="189" ht="15.0" customHeight="1">
      <c r="A189" s="43">
        <f>A152+7</f>
        <v>42366</v>
      </c>
      <c r="B189" s="44" t="s">
        <v>18</v>
      </c>
      <c r="C189" s="149" t="str">
        <f t="shared" si="450"/>
        <v>Болгарские выпады</v>
      </c>
      <c r="D189" s="46">
        <f t="shared" si="451"/>
        <v>0.3</v>
      </c>
      <c r="E189" s="47" t="str">
        <f t="shared" si="452"/>
        <v/>
      </c>
      <c r="F189" s="48">
        <f t="shared" si="453"/>
        <v>16</v>
      </c>
      <c r="G189" s="49">
        <v>15.0</v>
      </c>
      <c r="H189" s="49">
        <v>1.0</v>
      </c>
      <c r="I189" s="50">
        <v>0.5</v>
      </c>
      <c r="J189" s="48">
        <f t="shared" si="454"/>
        <v>20</v>
      </c>
      <c r="K189" s="49">
        <v>20.0</v>
      </c>
      <c r="L189" s="49">
        <v>1.0</v>
      </c>
      <c r="M189" s="50">
        <v>0.63</v>
      </c>
      <c r="N189" s="48" t="str">
        <f t="shared" si="455"/>
        <v/>
      </c>
      <c r="O189" s="49"/>
      <c r="P189" s="49"/>
      <c r="Q189" s="50">
        <v>0.0</v>
      </c>
      <c r="R189" s="48" t="str">
        <f t="shared" si="456"/>
        <v/>
      </c>
      <c r="S189" s="49"/>
      <c r="T189" s="49"/>
      <c r="U189" s="51">
        <v>0.0</v>
      </c>
      <c r="V189" s="52">
        <f t="shared" si="457"/>
        <v>640</v>
      </c>
      <c r="W189" s="53">
        <f t="shared" si="458"/>
        <v>18.28571429</v>
      </c>
      <c r="X189" s="54">
        <f t="shared" si="459"/>
        <v>0.58</v>
      </c>
      <c r="Y189" s="137">
        <f t="shared" si="460"/>
        <v>31.5303015</v>
      </c>
      <c r="Z189" s="53" t="str">
        <f t="shared" si="461"/>
        <v>#REF!</v>
      </c>
      <c r="AA189" s="49">
        <f t="shared" si="462"/>
        <v>35</v>
      </c>
      <c r="AB189" s="56">
        <f t="shared" si="463"/>
        <v>2.55</v>
      </c>
      <c r="AC189" s="9"/>
      <c r="AD189" s="9"/>
      <c r="AE189" s="9"/>
      <c r="AF189" s="112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</row>
    <row r="190" ht="15.75" customHeight="1">
      <c r="A190" s="57"/>
      <c r="B190" s="44" t="s">
        <v>18</v>
      </c>
      <c r="C190" s="149" t="str">
        <f t="shared" si="450"/>
        <v>Разведение ног в тренажёре</v>
      </c>
      <c r="D190" s="46">
        <f t="shared" si="451"/>
        <v>0.3</v>
      </c>
      <c r="E190" s="47">
        <f t="shared" si="452"/>
        <v>5</v>
      </c>
      <c r="F190" s="59">
        <f t="shared" si="453"/>
        <v>4.2</v>
      </c>
      <c r="G190" s="60">
        <v>10.0</v>
      </c>
      <c r="H190" s="60">
        <v>4.0</v>
      </c>
      <c r="I190" s="61">
        <v>0.4</v>
      </c>
      <c r="J190" s="59" t="str">
        <f t="shared" si="454"/>
        <v/>
      </c>
      <c r="K190" s="60"/>
      <c r="L190" s="60"/>
      <c r="M190" s="61">
        <v>0.0</v>
      </c>
      <c r="N190" s="59" t="str">
        <f t="shared" si="455"/>
        <v/>
      </c>
      <c r="O190" s="60"/>
      <c r="P190" s="60"/>
      <c r="Q190" s="61">
        <v>0.0</v>
      </c>
      <c r="R190" s="59" t="str">
        <f t="shared" si="456"/>
        <v/>
      </c>
      <c r="S190" s="60"/>
      <c r="T190" s="60"/>
      <c r="U190" s="62">
        <v>0.0</v>
      </c>
      <c r="V190" s="63">
        <f t="shared" si="457"/>
        <v>840</v>
      </c>
      <c r="W190" s="64">
        <f t="shared" si="458"/>
        <v>21</v>
      </c>
      <c r="X190" s="65">
        <f t="shared" si="459"/>
        <v>0.4</v>
      </c>
      <c r="Y190" s="137">
        <f t="shared" si="460"/>
        <v>10.5101005</v>
      </c>
      <c r="Z190" s="64" t="str">
        <f t="shared" si="461"/>
        <v>#REF!</v>
      </c>
      <c r="AA190" s="60">
        <f t="shared" si="462"/>
        <v>40</v>
      </c>
      <c r="AB190" s="66">
        <f t="shared" si="463"/>
        <v>3</v>
      </c>
      <c r="AC190" s="9"/>
      <c r="AD190" s="9"/>
      <c r="AE190" s="9"/>
      <c r="AF190" s="112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</row>
    <row r="191" ht="15.75" customHeight="1">
      <c r="A191" s="57"/>
      <c r="B191" s="44" t="str">
        <f t="shared" ref="B191:C191" si="464">IF(B154="","",B154)</f>
        <v>Средняя</v>
      </c>
      <c r="C191" s="149" t="str">
        <f t="shared" si="464"/>
        <v>Присед</v>
      </c>
      <c r="D191" s="46">
        <f t="shared" si="451"/>
        <v>1.2</v>
      </c>
      <c r="E191" s="47" t="str">
        <f t="shared" si="452"/>
        <v/>
      </c>
      <c r="F191" s="48">
        <f t="shared" si="453"/>
        <v>30</v>
      </c>
      <c r="G191" s="49">
        <v>10.0</v>
      </c>
      <c r="H191" s="49">
        <v>1.0</v>
      </c>
      <c r="I191" s="50">
        <v>0.55</v>
      </c>
      <c r="J191" s="67">
        <f t="shared" si="454"/>
        <v>32.5</v>
      </c>
      <c r="K191" s="49">
        <v>8.0</v>
      </c>
      <c r="L191" s="49">
        <v>4.0</v>
      </c>
      <c r="M191" s="50">
        <v>0.64</v>
      </c>
      <c r="N191" s="48" t="str">
        <f t="shared" si="455"/>
        <v/>
      </c>
      <c r="O191" s="49"/>
      <c r="P191" s="49"/>
      <c r="Q191" s="50">
        <v>0.0</v>
      </c>
      <c r="R191" s="48" t="str">
        <f t="shared" si="456"/>
        <v/>
      </c>
      <c r="S191" s="49"/>
      <c r="T191" s="49"/>
      <c r="U191" s="51">
        <v>0.0</v>
      </c>
      <c r="V191" s="52">
        <f t="shared" si="457"/>
        <v>1340</v>
      </c>
      <c r="W191" s="53">
        <f t="shared" si="458"/>
        <v>31.9047619</v>
      </c>
      <c r="X191" s="54">
        <f t="shared" si="459"/>
        <v>0.61</v>
      </c>
      <c r="Y191" s="137">
        <f t="shared" si="460"/>
        <v>52.55050251</v>
      </c>
      <c r="Z191" s="53" t="str">
        <f t="shared" si="461"/>
        <v>#REF!</v>
      </c>
      <c r="AA191" s="49">
        <f t="shared" si="462"/>
        <v>42</v>
      </c>
      <c r="AB191" s="56">
        <f t="shared" si="463"/>
        <v>27</v>
      </c>
      <c r="AC191" s="9"/>
      <c r="AD191" s="9"/>
      <c r="AE191" s="9"/>
      <c r="AF191" s="112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</row>
    <row r="192" ht="15.75" customHeight="1">
      <c r="A192" s="57"/>
      <c r="B192" s="44" t="str">
        <f t="shared" ref="B192:C192" si="465">IF(B155="","",B155)</f>
        <v>Средняя</v>
      </c>
      <c r="C192" s="149" t="str">
        <f t="shared" si="465"/>
        <v>Жим гантелей вверх</v>
      </c>
      <c r="D192" s="46">
        <f t="shared" si="451"/>
        <v>1.2</v>
      </c>
      <c r="E192" s="47">
        <f t="shared" si="452"/>
        <v>2</v>
      </c>
      <c r="F192" s="59">
        <f t="shared" si="453"/>
        <v>3.7</v>
      </c>
      <c r="G192" s="60">
        <v>12.0</v>
      </c>
      <c r="H192" s="60">
        <v>1.0</v>
      </c>
      <c r="I192" s="61">
        <v>0.5</v>
      </c>
      <c r="J192" s="59">
        <f t="shared" si="454"/>
        <v>4.3</v>
      </c>
      <c r="K192" s="60">
        <v>10.0</v>
      </c>
      <c r="L192" s="60">
        <v>1.0</v>
      </c>
      <c r="M192" s="61">
        <v>0.58</v>
      </c>
      <c r="N192" s="59">
        <f t="shared" si="455"/>
        <v>4.9</v>
      </c>
      <c r="O192" s="60">
        <v>8.0</v>
      </c>
      <c r="P192" s="60">
        <v>2.0</v>
      </c>
      <c r="Q192" s="61">
        <v>0.66</v>
      </c>
      <c r="R192" s="59" t="str">
        <f t="shared" si="456"/>
        <v/>
      </c>
      <c r="S192" s="60"/>
      <c r="T192" s="60"/>
      <c r="U192" s="62">
        <v>0.0</v>
      </c>
      <c r="V192" s="63">
        <f t="shared" si="457"/>
        <v>331.6</v>
      </c>
      <c r="W192" s="64">
        <f t="shared" si="458"/>
        <v>8.726315789</v>
      </c>
      <c r="X192" s="62">
        <f t="shared" si="459"/>
        <v>0.59</v>
      </c>
      <c r="Y192" s="137">
        <f t="shared" si="460"/>
        <v>7.357070351</v>
      </c>
      <c r="Z192" s="64" t="str">
        <f t="shared" si="461"/>
        <v>#REF!</v>
      </c>
      <c r="AA192" s="60">
        <f t="shared" si="462"/>
        <v>38</v>
      </c>
      <c r="AB192" s="66">
        <f t="shared" si="463"/>
        <v>22.2</v>
      </c>
      <c r="AC192" s="9"/>
      <c r="AD192" s="9"/>
      <c r="AE192" s="9"/>
      <c r="AF192" s="112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</row>
    <row r="193" ht="15.75" customHeight="1">
      <c r="A193" s="57"/>
      <c r="B193" s="44" t="str">
        <f t="shared" ref="B193:C193" si="466">IF(B156="","",B156)</f>
        <v>Легкая</v>
      </c>
      <c r="C193" s="149" t="str">
        <f t="shared" si="466"/>
        <v>Разведение гантелей в стороны</v>
      </c>
      <c r="D193" s="46">
        <f t="shared" si="451"/>
        <v>0.4</v>
      </c>
      <c r="E193" s="47">
        <f t="shared" si="452"/>
        <v>2</v>
      </c>
      <c r="F193" s="48">
        <f t="shared" si="453"/>
        <v>2.1</v>
      </c>
      <c r="G193" s="49">
        <v>12.0</v>
      </c>
      <c r="H193" s="49">
        <v>4.0</v>
      </c>
      <c r="I193" s="50">
        <v>0.33</v>
      </c>
      <c r="J193" s="48" t="str">
        <f t="shared" si="454"/>
        <v/>
      </c>
      <c r="K193" s="49"/>
      <c r="L193" s="49"/>
      <c r="M193" s="50">
        <v>0.0</v>
      </c>
      <c r="N193" s="48" t="str">
        <f t="shared" si="455"/>
        <v/>
      </c>
      <c r="O193" s="49"/>
      <c r="P193" s="49"/>
      <c r="Q193" s="50">
        <v>0.0</v>
      </c>
      <c r="R193" s="48" t="str">
        <f t="shared" si="456"/>
        <v/>
      </c>
      <c r="S193" s="49"/>
      <c r="T193" s="49"/>
      <c r="U193" s="51">
        <v>0.0</v>
      </c>
      <c r="V193" s="52">
        <f t="shared" si="457"/>
        <v>201.6</v>
      </c>
      <c r="W193" s="53">
        <f t="shared" si="458"/>
        <v>4.2</v>
      </c>
      <c r="X193" s="54">
        <f t="shared" si="459"/>
        <v>0.33</v>
      </c>
      <c r="Y193" s="137">
        <f t="shared" si="460"/>
        <v>6.306060301</v>
      </c>
      <c r="Z193" s="53" t="str">
        <f t="shared" si="461"/>
        <v>#REF!</v>
      </c>
      <c r="AA193" s="49">
        <f t="shared" si="462"/>
        <v>48</v>
      </c>
      <c r="AB193" s="56">
        <f t="shared" si="463"/>
        <v>3</v>
      </c>
      <c r="AC193" s="9"/>
      <c r="AD193" s="9"/>
      <c r="AE193" s="9"/>
      <c r="AF193" s="112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</row>
    <row r="194" ht="15.75" customHeight="1">
      <c r="A194" s="72"/>
      <c r="B194" s="73" t="str">
        <f t="shared" ref="B194:C194" si="467">IF(B157="","",B157)</f>
        <v/>
      </c>
      <c r="C194" s="174" t="str">
        <f t="shared" si="467"/>
        <v>Разгибание рук на блоке</v>
      </c>
      <c r="D194" s="75">
        <f>ROUND(IFERROR((D188*(G188*H188+K188*L188+O188*P188+S188*T188)+D189*(G189*H189+K189*L189+O189*P189+S189*T189)+D190*(G190*H190+K190*L190+O190*P190+S190*T190)+D191*(G191*H191+K191*L191+O191*P191+S191*T191)+D192*(G192*H192+K192*L192+O192*P192+S192*T192)+D193*(G193*H193+K193*L193+O193*P193+S193*T193))/((G188*H188+K188*L188+O188*P188+S188*T188)+(G189*H189+K189*L189+O189*P189+S189*T189)+(G190*H190+K190*L190+O190*P190+S190*T190)+(G191*H191+K191*L191+O191*P191+S191*T191)+(G192*H192+K192*L192+O192*P192+S192*T192)+(G193*H193+K193*L193+O193*P193+S193*T193)),0),2)</f>
        <v>0.73</v>
      </c>
      <c r="E194" s="76" t="str">
        <f t="shared" si="452"/>
        <v/>
      </c>
      <c r="F194" s="77"/>
      <c r="G194" s="78"/>
      <c r="H194" s="78"/>
      <c r="I194" s="79"/>
      <c r="J194" s="77"/>
      <c r="K194" s="78"/>
      <c r="L194" s="78"/>
      <c r="M194" s="79"/>
      <c r="N194" s="77"/>
      <c r="O194" s="78"/>
      <c r="P194" s="78"/>
      <c r="Q194" s="79"/>
      <c r="R194" s="77"/>
      <c r="S194" s="78"/>
      <c r="T194" s="78"/>
      <c r="U194" s="80"/>
      <c r="V194" s="81">
        <f>SUM(V188:V193)</f>
        <v>4703.2</v>
      </c>
      <c r="W194" s="82">
        <f>IFERROR(V194/AA194,0)</f>
        <v>19.67866109</v>
      </c>
      <c r="X194" s="83">
        <f>ROUND(IFERROR(((I188*G188*H188+M188*K188*L188+Q188*O188*P188+U188*S188*T188)+(I189*G189*H189+M189*K189*L189+Q189*O189*P189+U189*S189*T189)+(I190*G190*H190+M190*K190*L190+Q190*O190*P190+U190*S190*T190)+(I191*G191*H191+M191*K191*L191+Q191*O191*P191+U191*S191*T191)+(I192*G192*H192+M192*K192*L192+Q192*O192*P192+U192*S192*T192)+(I193*G193*H193+M193*K193*L193+Q193*O193*P193+U193*S193*T193))/((G188*H188+K188*L188+O188*P188+S188*T188)+(G189*H189+K189*L189+O189*P189+S189*T189)+(G190*H190+K190*L190+O190*P190+S190*T190)+(G191*H191+K191*L191+O191*P191+S191*T191)+(G192*H192+K192*L192+O192*P192+S192*T192)+(G193*H193+K193*L193+O193*P193+S193*T193)),0),3)</f>
        <v>0.48</v>
      </c>
      <c r="Y194" s="84"/>
      <c r="Z194" s="82" t="str">
        <f t="shared" ref="Z194:AA194" si="468">SUM(Z188:Z193)</f>
        <v>#REF!</v>
      </c>
      <c r="AA194" s="85">
        <f t="shared" si="468"/>
        <v>239</v>
      </c>
      <c r="AB194" s="86">
        <f>IF(SUM(AB188:AB193)=0,TIME(,0,),TIME(,SUM(AB188:AB193)+30,))</f>
        <v>0.06666666667</v>
      </c>
      <c r="AC194" s="9"/>
      <c r="AD194" s="9"/>
      <c r="AE194" s="9"/>
      <c r="AF194" s="112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</row>
    <row r="195" ht="15.75" customHeight="1">
      <c r="A195" s="88" t="s">
        <v>28</v>
      </c>
      <c r="B195" s="89" t="s">
        <v>23</v>
      </c>
      <c r="C195" s="141" t="str">
        <f>IF(C158="","",C158)</f>
        <v>Румынская тяга</v>
      </c>
      <c r="D195" s="29">
        <f t="shared" ref="D195:D200" si="470">D158</f>
        <v>1</v>
      </c>
      <c r="E195" s="91" t="str">
        <f t="shared" si="452"/>
        <v/>
      </c>
      <c r="F195" s="92">
        <f t="shared" ref="F195:F200" si="471">IF(I195&lt;&gt;0,(IFERROR(IF($Y195&gt;50,MROUND($Y195*I195,2.5),IF($Y195&lt;15,MROUND($Y195*I195,0.1),MROUND($Y195*I195,1))),)),"")</f>
        <v>32.5</v>
      </c>
      <c r="G195" s="93">
        <v>12.0</v>
      </c>
      <c r="H195" s="93">
        <v>1.0</v>
      </c>
      <c r="I195" s="94">
        <v>0.55</v>
      </c>
      <c r="J195" s="92">
        <f t="shared" ref="J195:J200" si="472">IF(M195&lt;&gt;0,(IFERROR(IF($Y195&gt;50,MROUND($Y195*M195,2.5),IF($Y195&lt;15,MROUND($Y195*M195,0.1),MROUND($Y195*M195,1))),)),"")</f>
        <v>35</v>
      </c>
      <c r="K195" s="93">
        <v>15.0</v>
      </c>
      <c r="L195" s="93">
        <v>1.0</v>
      </c>
      <c r="M195" s="94">
        <v>0.62</v>
      </c>
      <c r="N195" s="92">
        <f t="shared" ref="N195:N200" si="473">IF(Q195&lt;&gt;0,(IFERROR(IF($Y195&gt;50,MROUND($Y195*Q195,2.5),IF($Y195&lt;15,MROUND($Y195*Q195,0.1),MROUND($Y195*Q195,1))),)),"")</f>
        <v>40</v>
      </c>
      <c r="O195" s="93">
        <v>20.0</v>
      </c>
      <c r="P195" s="93">
        <v>1.0</v>
      </c>
      <c r="Q195" s="94">
        <v>0.7</v>
      </c>
      <c r="R195" s="92" t="str">
        <f t="shared" ref="R195:R200" si="474">IF(U195&lt;&gt;0,(IFERROR(IF($Y195&gt;50,MROUND($Y195*U195,2.5),IF($Y195&lt;15,MROUND($Y195*U195,0.1),MROUND($Y195*U195,1))),)),"")</f>
        <v/>
      </c>
      <c r="S195" s="93"/>
      <c r="T195" s="93"/>
      <c r="U195" s="94">
        <v>0.0</v>
      </c>
      <c r="V195" s="95">
        <f t="shared" ref="V195:V200" si="475">(IF(ISNUMBER(F195),F195,1)*G195*H195+IF(ISNUMBER(J195),J195,1)*K195*L195+IF(ISNUMBER(N195),N195,1)*O195*P195+IF(ISNUMBER(R195),R195,1)*S195*T195)*IF(ISNUMBER(E195),E195,1)</f>
        <v>1715</v>
      </c>
      <c r="W195" s="96">
        <f t="shared" ref="W195:W200" si="476">IFERROR((IF(ISNUMBER(F195),F195,1)*G195*H195+IF(ISNUMBER(J195),J195,1)*K195*L195+IF(ISNUMBER(N195),N195,1)*O195*P195+IF(ISNUMBER(R195),R195,1)*S195*T195)*IF(ISNUMBER(E195),E195,1)/(G195*H195+K195*L195+O195*P195+S195*T195),0)</f>
        <v>36.4893617</v>
      </c>
      <c r="X195" s="97">
        <f t="shared" ref="X195:X200" si="477">ROUND(IFERROR((W195/(Y195*IF(ISNUMBER(E195),E195,1))),0),2)</f>
        <v>0.63</v>
      </c>
      <c r="Y195" s="37">
        <f t="shared" ref="Y195:Y200" si="478">IF(ISNUMBER(Y158), Y158+(Y158*$Y$186),"")</f>
        <v>57.80555276</v>
      </c>
      <c r="Z195" s="96" t="str">
        <f t="shared" ref="Z195:Z200" si="479">(IF(I195&lt;30%,0,IF(I195&lt;35%,F195*G195*H195*F!$B$33,IF(I195&lt;40%,F195*G195*H195*F!$B$38,IF(I195&lt;45%,F195*G195*H195*F!$B$43,IF(I195&lt;50%,F195*G195*H195*F!$B$48,IF(I195=50%,F195*G195*H195*F!$B$50,IF(I195=51%,F195*G195*H195*F!$B$51,IF(I195=52%,F195*G195*H195*F!$B$52,IF(I195=53%,F195*G195*H195*F!$B$53,IF(I195=54%,F195*G195*H195*F!$B$54,IF(I195=55%,F195*G195*H195*F!$B$55,IF(I195=56%,F195*G195*H195*F!$B$56,IF(I195=57%,F195*G195*H195*F!$B$57,IF(I195=58%,F195*G195*H195*F!$B$58,IF(I195=59%,F195*G195*H195*F!$B$59,IF(I195=60%,F195*G195*H195*F!$B$60,IF(I195=61%,F195*G195*H195*F!$B$61,IF(I195=62%,F195*G195*H195*F!$B$62,IF(I195=63%,F195*G195*H195*F!$B$63,IF(I195=64%,F195*G195*H195*F!$B$64,IF(I195=65%,F195*G195*H195*F!$B$65,IF(I195=66%,F195*G195*H195*F!$B$66,IF(I195=67%,F195*G195*H195*F!$B$67,IF(I195=68%,F195*G195*H195*F!$B$68,IF(I195=69%,F195*G195*H195*F!$B$69,IF(I195=70%,F195*G195*H195*F!$B$70,IF(I195=71%,F195*G195*H195*F!$B$71,IF(I195=72%,F195*G195*H195*F!$B$72,IF(I195=73%,F195*G195*H195*F!$B$73,IF(I195=74%,F195*G195*H195*F!$B$74,IF(I195=75%,F195*G195*H195*F!$B$75,IF(I195=76%,F195*G195*H195*F!$B$76,IF(I195=77%,F195*G195*H195*F!$B$77,IF(I195=78%,F195*G195*H195*F!$B$78,IF(I195=79%,F195*G195*H195*F!$B$79,IF(I195=80%,F195*G195*H195*F!$B$80,IF(I195=81%,F195*G195*H195*F!$B$81,IF(I195=82%,F195*G195*H195*F!$B$82,IF(I195=83%,F195*G195*H195*F!$B$83,IF(I195=84%,F195*G195*H195*F!$B$84,IF(I195=85%,F195*G195*H195*F!$B$85,IF(I195=86%,F195*G195*H195*F!$B$86,IF(I195=87%,F195*G195*H195*F!$B$87,IF(I195=88%,F195*G195*H195*F!$B$88,IF(I195=89%,F195*G195*H195*F!$B$89,IF(I195=90%,F195*G195*H195*F!$B$90,IF(I195=91%,F195*G195*H195*F!$B$91,IF(I195=92%,F195*G195*H195*F!$B$92,IF(I195=93%,F195*G195*H195*F!$B$93,IF(I195=94%,F195*G195*H195*F!$B$94,IF(I195=95%,F195*G195*H195*F!$B$95,IF(I195=96%,F195*G195*H195*F!$B$96,IF(I195=97%,F195*G195*H195*F!$B$97,IF(I195=98%,F195*G195*H195*F!$B$98,IF(I195=99%,F195*G195*H195*F!$B$99,IF(I195&gt;99%,F195*G195*H195*F!$B$100,))))))))))))))))))))))))))))))))))))))))))))))))))))))))+IF(M195&lt;30%,0,IF(M195&lt;35%,J195*K195*L195*F!$B$33,IF(M195&lt;40%,J195*K195*L195*F!$B$38,IF(M195&lt;45%,J195*K195*L195*F!$B$43,IF(M195&lt;50%,J195*K195*L195*F!$B$48,IF(M195=50%,J195*K195*L195*F!$B$50,IF(M195=51%,J195*K195*L195*F!$B$51,IF(M195=52%,J195*K195*L195*F!$B$52,IF(M195=53%,J195*K195*L195*F!$B$53,IF(M195=54%,J195*K195*L195*F!$B$54,IF(M195=55%,J195*K195*L195*F!$B$55,IF(M195=56%,J195*K195*L195*F!$B$56,IF(M195=57%,J195*K195*L195*F!$B$57,IF(M195=58%,J195*K195*L195*F!$B$58,IF(M195=59%,J195*K195*L195*F!$B$59,IF(M195=60%,J195*K195*L195*F!$B$60,IF(M195=61%,J195*K195*L195*F!$B$61,IF(M195=62%,J195*K195*L195*F!$B$62,IF(M195=63%,J195*K195*L195*F!$B$63,IF(M195=64%,J195*K195*L195*F!$B$64,IF(M195=65%,J195*K195*L195*F!$B$65,IF(M195=66%,J195*K195*L195*F!$B$66,IF(M195=67%,J195*K195*L195*F!$B$67,IF(M195=68%,J195*K195*L195*F!$B$68,IF(M195=69%,J195*K195*L195*F!$B$69,IF(M195=70%,J195*K195*L195*F!$B$70,IF(M195=71%,J195*K195*L195*F!$B$71,IF(M195=72%,J195*K195*L195*F!$B$72,IF(M195=73%,J195*K195*L195*F!$B$73,IF(M195=74%,J195*K195*L195*F!$B$74,IF(M195=75%,J195*K195*L195*F!$B$75,IF(M195=76%,J195*K195*L195*F!$B$76,IF(M195=77%,J195*K195*L195*F!$B$77,IF(M195=78%,J195*K195*L195*F!$B$78,IF(M195=79%,J195*K195*L195*F!$B$79,IF(M195=80%,J195*K195*L195*F!$B$80,IF(M195=81%,J195*K195*L195*F!$B$81,IF(M195=82%,J195*K195*L195*F!$B$82,IF(M195=83%,J195*K195*L195*F!$B$83,IF(M195=84%,J195*K195*L195*F!$B$84,IF(M195=85%,J195*K195*L195*F!$B$85,IF(M195=86%,J195*K195*L195*F!$B$86,IF(M195=87%,J195*K195*L195*F!$B$87,IF(M195=88%,J195*K195*L195*F!$B$88,IF(M195=89%,J195*K195*L195*F!$B$89,IF(M195=90%,J195*K195*L195*F!$B$90,IF(M195=91%,J195*K195*L195*F!$B$91,IF(M195=92%,J195*K195*L195*F!$B$92,IF(M195=93%,J195*K195*L195*F!$B$93,IF(M195=94%,J195*K195*L195*F!$B$94,IF(M195=95%,J195*K195*L195*F!$B$95,IF(M195=96%,J195*K195*L195*F!$B$96,IF(M195=97%,J195*K195*L195*F!$B$97,IF(M195=98%,J195*K195*L195*F!$B$98,IF(M195=99%,J195*K195*L195*F!$B$99,IF(M195&gt;99%,J195*K195*L195*F!$B$100,))))))))))))))))))))))))))))))))))))))))))))))))))))))))+IF(Q195&lt;30%,0,IF(Q195&lt;35%,N195*O195*P195*F!$B$33,IF(Q195&lt;40%,N195*O195*P195*F!$B$38,IF(Q195&lt;45%,N195*O195*P195*F!$B$43,IF(Q195&lt;50%,N195*O195*P195*F!$B$48,IF(Q195=50%,N195*O195*P195*F!$B$50,IF(Q195=51%,N195*O195*P195*F!$B$51,IF(Q195=52%,N195*O195*P195*F!$B$52,IF(Q195=53%,N195*O195*P195*F!$B$53,IF(Q195=54%,N195*O195*P195*F!$B$54,IF(Q195=55%,N195*O195*P195*F!$B$55,IF(Q195=56%,N195*O195*P195*F!$B$56,IF(Q195=57%,N195*O195*P195*F!$B$57,IF(Q195=58%,N195*O195*P195*F!$B$58,IF(Q195=59%,N195*O195*P195*F!$B$59,IF(Q195=60%,N195*O195*P195*F!$B$60,IF(Q195=61%,N195*O195*P195*F!$B$61,IF(Q195=62%,N195*O195*P195*F!$B$62,IF(Q195=63%,N195*O195*P195*F!$B$63,IF(Q195=64%,N195*O195*P195*F!$B$64,IF(Q195=65%,N195*O195*P195*F!$B$65,IF(Q195=66%,N195*O195*P195*F!$B$66,IF(Q195=67%,N195*O195*P195*F!$B$67,IF(Q195=68%,N195*O195*P195*F!$B$68,IF(Q195=69%,N195*O195*P195*F!$B$69,IF(Q195=70%,N195*O195*P195*F!$B$70,IF(Q195=71%,N195*O195*P195*F!$B$71,IF(Q195=72%,N195*O195*P195*F!$B$72,IF(Q195=73%,N195*O195*P195*F!$B$73,IF(Q195=74%,N195*O195*P195*F!$B$74,IF(Q195=75%,N195*O195*P195*F!$B$75,IF(Q195=76%,N195*O195*P195*F!$B$76,IF(Q195=77%,N195*O195*P195*F!$B$77,IF(Q195=78%,N195*O195*P195*F!$B$78,IF(Q195=79%,N195*O195*P195*F!$B$79,IF(Q195=80%,N195*O195*P195*F!$B$80,IF(Q195=81%,N195*O195*P195*F!$B$81,IF(Q195=82%,N195*O195*P195*F!$B$82,IF(Q195=83%,N195*O195*P195*F!$B$83,IF(Q195=84%,N195*O195*P195*F!$B$84,IF(Q195=85%,N195*O195*P195*F!$B$85,IF(Q195=86%,N195*O195*P195*F!$B$86,IF(Q195=87%,N195*O195*P195*F!$B$87,IF(Q195=88%,N195*O195*P195*F!$B$88,IF(Q195=89%,N195*O195*P195*F!$B$89,IF(Q195=90%,N195*O195*P195*F!$B$90,IF(Q195=91%,N195*O195*P195*F!$B$91,IF(Q195=92%,N195*O195*P195*F!$B$92,IF(Q195=93%,N195*O195*P195*F!$B$93,IF(Q195=94%,N195*O195*P195*F!$B$94,IF(Q195=95%,N195*O195*P195*F!$B$95,IF(Q195=96%,N195*O195*P195*F!$B$96,IF(Q195=97%,N195*O195*P195*F!$B$97,IF(Q195=98%,N195*O195*P195*F!$B$98,IF(Q195=99%,N195*O195*P195*F!$B$99,IF(Q195&gt;99%,N195*O195*P195*F!$B$100,))))))))))))))))))))))))))))))))))))))))))))))))))))))))+IF(U195&lt;30%,0,IF(U195&lt;35%,R195*S195*T195*F!$B$33,IF(U195&lt;40%,R195*S195*T195*F!$B$38,IF(U195&lt;45%,R195*S195*T195*F!$B$43,IF(U195&lt;50%,R195*S195*T195*F!$B$48,IF(U195=50%,R195*S195*T195*F!$B$50,IF(U195=51%,R195*S195*T195*F!$B$51,IF(U195=52%,R195*S195*T195*F!$B$52,IF(U195=53%,R195*S195*T195*F!$B$53,IF(U195=54%,R195*S195*T195*F!$B$54,IF(U195=55%,R195*S195*T195*F!$B$55,IF(U195=56%,R195*S195*T195*F!$B$56,IF(U195=57%,R195*S195*T195*F!$B$57,IF(U195=58%,R195*S195*T195*F!$B$58,IF(U195=59%,R195*S195*T195*F!$B$59,IF(U195=60%,R195*S195*T195*F!$B$60,IF(U195=61%,R195*S195*T195*F!$B$61,IF(U195=62%,R195*S195*T195*F!$B$62,IF(U195=63%,R195*S195*T195*F!$B$63,IF(U195=64%,R195*S195*T195*F!$B$64,IF(U195=65%,R195*S195*T195*F!$B$65,IF(U195=66%,R195*S195*T195*F!$B$66,IF(U195=67%,R195*S195*T195*F!$B$67,IF(U195=68%,R195*S195*T195*F!$B$68,IF(U195=69%,R195*S195*T195*F!$B$69,IF(U195=70%,R195*S195*T195*F!$B$70,IF(U195=71%,R195*S195*T195*F!$B$71,IF(U195=72%,R195*S195*T195*F!$B$72,IF(U195=73%,R195*S195*T195*F!$B$73,IF(U195=74%,R195*S195*T195*F!$B$74,IF(U195=75%,R195*S195*T195*F!$B$75,IF(U195=76%,R195*S195*T195*F!$B$76,IF(U195=77%,R195*S195*T195*F!$B$77,IF(U195=78%,R195*S195*T195*F!$B$78,IF(U195=79%,R195*S195*T195*F!$B$79,IF(U195=80%,R195*S195*T195*F!$B$80,IF(U195=81%,R195*S195*T195*F!$B$81,IF(U195=82%,R195*S195*T195*F!$B$82,IF(U195=83%,R195*S195*T195*F!$B$83,IF(U195=84%,R195*S195*T195*F!$B$84,IF(U195=85%,R195*S195*T195*F!$B$85,IF(U195=86%,R195*S195*T195*F!$B$86,IF(U195=87%,R195*S195*T195*F!$B$87,IF(U195=88%,R195*S195*T195*F!$B$88,IF(U195=89%,R195*S195*T195*F!$B$89,IF(U195=90%,R195*S195*T195*F!$B$90,IF(U195=91%,R195*S195*T195*F!$B$91,IF(U195=92%,R195*S195*T195*F!$B$92,IF(U195=93%,R195*S195*T195*F!$B$93,IF(U195=94%,R195*S195*T195*F!$B$94,IF(U195=95%,R195*S195*T195*F!$B$95,IF(U195=96%,R195*S195*T195*F!$B$96,IF(U195=97%,R195*S195*T195*F!$B$97,IF(U195=98%,R195*S195*T195*F!$B$98,IF(U195=99%,R195*S195*T195*F!$B$99,IF(U195&gt;99%,R195*S195*T195*F!$B$100)))))))))))))))))))))))))))))))))))))))))))))))))))))))))*IF(ISNUMBER(E195),E195,1)*IF(ISNUMBER(D195),D195,1)</f>
        <v>#REF!</v>
      </c>
      <c r="AA195" s="93">
        <f t="shared" ref="AA195:AA200" si="480">G195*H195+K195*L195+O195*P195+S195*T195</f>
        <v>47</v>
      </c>
      <c r="AB195" s="99">
        <f t="shared" ref="AB195:AB200" si="481">(H195*(IF(I195&lt;45%,0.5,IF(I195&lt;55%,0.8,IF(I195&lt;65%,0.9,IF(I195&lt;75%,1,IF(I195&lt;85%,1.1,1.2))))))+L195*(IF(M195&lt;45%,0.5,IF(M195&lt;55%,0.8,IF(M195&lt;65%,0.9,IF(M195&lt;75%,1,IF(M195&lt;85%,1.1,1.2))))))+P195*(IF(Q195&lt;45%,0.5,IF(Q195&lt;55%,0.8,IF(Q195&lt;65%,0.9,IF(Q195&lt;75%,1,IF(Q195&lt;85%,1.1,1.2))))))+T195*(IF(U195&lt;45%,0.5,IF(U195&lt;55%,0.8,IF(U195&lt;65%,0.9,IF(U195&lt;75%,1,IF(U195&lt;85%,1.1,1.2)))))))*IF(D195&gt;=0.8,6,IF(D195&lt;=0.4,1.5,3))</f>
        <v>16.8</v>
      </c>
      <c r="AC195" s="9"/>
      <c r="AD195" s="9"/>
      <c r="AE195" s="9"/>
      <c r="AF195" s="112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</row>
    <row r="196" ht="15.0" customHeight="1">
      <c r="A196" s="43">
        <f>A189+2</f>
        <v>42368</v>
      </c>
      <c r="B196" s="101" t="str">
        <f t="shared" ref="B196:C196" si="469">IF(B159="","",B159)</f>
        <v>Легкая</v>
      </c>
      <c r="C196" s="143" t="str">
        <f t="shared" si="469"/>
        <v>Выпады назад</v>
      </c>
      <c r="D196" s="46">
        <f t="shared" si="470"/>
        <v>1</v>
      </c>
      <c r="E196" s="144">
        <f t="shared" si="452"/>
        <v>2</v>
      </c>
      <c r="F196" s="59">
        <f t="shared" si="471"/>
        <v>4.7</v>
      </c>
      <c r="G196" s="60">
        <v>12.0</v>
      </c>
      <c r="H196" s="60">
        <v>5.0</v>
      </c>
      <c r="I196" s="61">
        <v>0.32</v>
      </c>
      <c r="J196" s="59" t="str">
        <f t="shared" si="472"/>
        <v/>
      </c>
      <c r="K196" s="60"/>
      <c r="L196" s="60"/>
      <c r="M196" s="61">
        <v>0.0</v>
      </c>
      <c r="N196" s="59" t="str">
        <f t="shared" si="473"/>
        <v/>
      </c>
      <c r="O196" s="60"/>
      <c r="P196" s="60"/>
      <c r="Q196" s="61">
        <v>0.0</v>
      </c>
      <c r="R196" s="59" t="str">
        <f t="shared" si="474"/>
        <v/>
      </c>
      <c r="S196" s="60"/>
      <c r="T196" s="60"/>
      <c r="U196" s="61">
        <v>0.0</v>
      </c>
      <c r="V196" s="104">
        <f t="shared" si="475"/>
        <v>564</v>
      </c>
      <c r="W196" s="64">
        <f t="shared" si="476"/>
        <v>9.4</v>
      </c>
      <c r="X196" s="65">
        <f t="shared" si="477"/>
        <v>0.32</v>
      </c>
      <c r="Y196" s="137">
        <f t="shared" si="478"/>
        <v>14.7141407</v>
      </c>
      <c r="Z196" s="64" t="str">
        <f t="shared" si="479"/>
        <v>#REF!</v>
      </c>
      <c r="AA196" s="60">
        <f t="shared" si="480"/>
        <v>60</v>
      </c>
      <c r="AB196" s="66">
        <f t="shared" si="481"/>
        <v>15</v>
      </c>
      <c r="AC196" s="9"/>
      <c r="AD196" s="9"/>
      <c r="AE196" s="9"/>
      <c r="AF196" s="112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</row>
    <row r="197" ht="15.75" customHeight="1">
      <c r="A197" s="57"/>
      <c r="B197" s="101" t="str">
        <f t="shared" ref="B197:C197" si="482">IF(B160="","",B160)</f>
        <v>Средняя</v>
      </c>
      <c r="C197" s="143" t="str">
        <f t="shared" si="482"/>
        <v>Отведение ноги назад</v>
      </c>
      <c r="D197" s="46">
        <f t="shared" si="470"/>
        <v>0.3</v>
      </c>
      <c r="E197" s="144">
        <f t="shared" si="452"/>
        <v>4</v>
      </c>
      <c r="F197" s="105">
        <f t="shared" si="471"/>
        <v>2.4</v>
      </c>
      <c r="G197" s="106">
        <v>12.0</v>
      </c>
      <c r="H197" s="106">
        <v>1.0</v>
      </c>
      <c r="I197" s="107">
        <v>0.45</v>
      </c>
      <c r="J197" s="105">
        <f t="shared" si="472"/>
        <v>3</v>
      </c>
      <c r="K197" s="106">
        <v>10.0</v>
      </c>
      <c r="L197" s="106">
        <v>4.0</v>
      </c>
      <c r="M197" s="107">
        <v>0.57</v>
      </c>
      <c r="N197" s="105" t="str">
        <f t="shared" si="473"/>
        <v/>
      </c>
      <c r="O197" s="106"/>
      <c r="P197" s="106"/>
      <c r="Q197" s="107">
        <v>0.0</v>
      </c>
      <c r="R197" s="105" t="str">
        <f t="shared" si="474"/>
        <v/>
      </c>
      <c r="S197" s="106"/>
      <c r="T197" s="106"/>
      <c r="U197" s="107">
        <v>0.0</v>
      </c>
      <c r="V197" s="108">
        <f t="shared" si="475"/>
        <v>595.2</v>
      </c>
      <c r="W197" s="109">
        <f t="shared" si="476"/>
        <v>11.44615385</v>
      </c>
      <c r="X197" s="110">
        <f t="shared" si="477"/>
        <v>0.54</v>
      </c>
      <c r="Y197" s="137">
        <f t="shared" si="478"/>
        <v>5.255050251</v>
      </c>
      <c r="Z197" s="109" t="str">
        <f t="shared" si="479"/>
        <v>#REF!</v>
      </c>
      <c r="AA197" s="106">
        <f t="shared" si="480"/>
        <v>52</v>
      </c>
      <c r="AB197" s="111">
        <f t="shared" si="481"/>
        <v>6.6</v>
      </c>
      <c r="AC197" s="9"/>
      <c r="AD197" s="9"/>
      <c r="AE197" s="9"/>
      <c r="AF197" s="112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</row>
    <row r="198" ht="15.75" customHeight="1">
      <c r="A198" s="57"/>
      <c r="B198" s="101" t="str">
        <f t="shared" ref="B198:C198" si="483">IF(B161="","",B161)</f>
        <v>Легкая</v>
      </c>
      <c r="C198" s="143" t="str">
        <f t="shared" si="483"/>
        <v>Тяга верхнего блока</v>
      </c>
      <c r="D198" s="46">
        <f t="shared" si="470"/>
        <v>0.3</v>
      </c>
      <c r="E198" s="144">
        <f t="shared" si="452"/>
        <v>4</v>
      </c>
      <c r="F198" s="59">
        <f t="shared" si="471"/>
        <v>3.8</v>
      </c>
      <c r="G198" s="60">
        <v>8.0</v>
      </c>
      <c r="H198" s="60">
        <v>3.0</v>
      </c>
      <c r="I198" s="61">
        <v>0.45</v>
      </c>
      <c r="J198" s="59" t="str">
        <f t="shared" si="472"/>
        <v/>
      </c>
      <c r="K198" s="60"/>
      <c r="L198" s="60"/>
      <c r="M198" s="61">
        <v>0.0</v>
      </c>
      <c r="N198" s="59" t="str">
        <f t="shared" si="473"/>
        <v/>
      </c>
      <c r="O198" s="60"/>
      <c r="P198" s="60"/>
      <c r="Q198" s="61">
        <v>0.0</v>
      </c>
      <c r="R198" s="59" t="str">
        <f t="shared" si="474"/>
        <v/>
      </c>
      <c r="S198" s="60"/>
      <c r="T198" s="60"/>
      <c r="U198" s="61">
        <v>0.0</v>
      </c>
      <c r="V198" s="104">
        <f t="shared" si="475"/>
        <v>364.8</v>
      </c>
      <c r="W198" s="64">
        <f t="shared" si="476"/>
        <v>15.2</v>
      </c>
      <c r="X198" s="65">
        <f t="shared" si="477"/>
        <v>0.45</v>
      </c>
      <c r="Y198" s="137">
        <f t="shared" si="478"/>
        <v>8.408080401</v>
      </c>
      <c r="Z198" s="64" t="str">
        <f t="shared" si="479"/>
        <v>#REF!</v>
      </c>
      <c r="AA198" s="60">
        <f t="shared" si="480"/>
        <v>24</v>
      </c>
      <c r="AB198" s="66">
        <f t="shared" si="481"/>
        <v>3.6</v>
      </c>
      <c r="AC198" s="9"/>
      <c r="AD198" s="9"/>
      <c r="AE198" s="9"/>
      <c r="AF198" s="112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</row>
    <row r="199" ht="15.75" customHeight="1">
      <c r="A199" s="57"/>
      <c r="B199" s="101" t="str">
        <f t="shared" ref="B199:C199" si="484">IF(B162="","",B162)</f>
        <v>Средняя</v>
      </c>
      <c r="C199" s="143" t="str">
        <f t="shared" si="484"/>
        <v>Тяга горизонтального блока</v>
      </c>
      <c r="D199" s="46">
        <f t="shared" si="470"/>
        <v>0.3</v>
      </c>
      <c r="E199" s="144">
        <f t="shared" si="452"/>
        <v>4</v>
      </c>
      <c r="F199" s="105">
        <f t="shared" si="471"/>
        <v>5.2</v>
      </c>
      <c r="G199" s="106">
        <v>10.0</v>
      </c>
      <c r="H199" s="106">
        <v>4.0</v>
      </c>
      <c r="I199" s="107">
        <v>0.55</v>
      </c>
      <c r="J199" s="105" t="str">
        <f t="shared" si="472"/>
        <v/>
      </c>
      <c r="K199" s="106"/>
      <c r="L199" s="106"/>
      <c r="M199" s="107">
        <v>0.0</v>
      </c>
      <c r="N199" s="105" t="str">
        <f t="shared" si="473"/>
        <v/>
      </c>
      <c r="O199" s="106"/>
      <c r="P199" s="106"/>
      <c r="Q199" s="107">
        <v>0.0</v>
      </c>
      <c r="R199" s="105" t="str">
        <f t="shared" si="474"/>
        <v/>
      </c>
      <c r="S199" s="106"/>
      <c r="T199" s="106"/>
      <c r="U199" s="107">
        <v>0.0</v>
      </c>
      <c r="V199" s="108">
        <f t="shared" si="475"/>
        <v>832</v>
      </c>
      <c r="W199" s="109">
        <f t="shared" si="476"/>
        <v>20.8</v>
      </c>
      <c r="X199" s="117">
        <f t="shared" si="477"/>
        <v>0.55</v>
      </c>
      <c r="Y199" s="137">
        <f t="shared" si="478"/>
        <v>9.459090451</v>
      </c>
      <c r="Z199" s="109" t="str">
        <f t="shared" si="479"/>
        <v>#REF!</v>
      </c>
      <c r="AA199" s="106">
        <f t="shared" si="480"/>
        <v>40</v>
      </c>
      <c r="AB199" s="111">
        <f t="shared" si="481"/>
        <v>5.4</v>
      </c>
      <c r="AC199" s="9"/>
      <c r="AD199" s="9"/>
      <c r="AE199" s="9"/>
      <c r="AF199" s="112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</row>
    <row r="200" ht="15.75" customHeight="1">
      <c r="A200" s="57"/>
      <c r="B200" s="101" t="str">
        <f t="shared" ref="B200:C200" si="485">IF(B163="","",B163)</f>
        <v>Средняя</v>
      </c>
      <c r="C200" s="143" t="str">
        <f t="shared" si="485"/>
        <v>Разведения в тренажёре на заднюю дельту</v>
      </c>
      <c r="D200" s="46">
        <f t="shared" si="470"/>
        <v>0.3</v>
      </c>
      <c r="E200" s="144">
        <f t="shared" si="452"/>
        <v>4</v>
      </c>
      <c r="F200" s="59">
        <f t="shared" si="471"/>
        <v>2.2</v>
      </c>
      <c r="G200" s="60">
        <v>12.0</v>
      </c>
      <c r="H200" s="60">
        <v>3.0</v>
      </c>
      <c r="I200" s="61">
        <v>0.53</v>
      </c>
      <c r="J200" s="59" t="str">
        <f t="shared" si="472"/>
        <v/>
      </c>
      <c r="K200" s="60"/>
      <c r="L200" s="60"/>
      <c r="M200" s="61">
        <v>0.0</v>
      </c>
      <c r="N200" s="59" t="str">
        <f t="shared" si="473"/>
        <v/>
      </c>
      <c r="O200" s="60"/>
      <c r="P200" s="60"/>
      <c r="Q200" s="61">
        <v>0.0</v>
      </c>
      <c r="R200" s="59" t="str">
        <f t="shared" si="474"/>
        <v/>
      </c>
      <c r="S200" s="60"/>
      <c r="T200" s="60"/>
      <c r="U200" s="61">
        <v>0.0</v>
      </c>
      <c r="V200" s="104">
        <f t="shared" si="475"/>
        <v>316.8</v>
      </c>
      <c r="W200" s="64">
        <f t="shared" si="476"/>
        <v>8.8</v>
      </c>
      <c r="X200" s="65">
        <f t="shared" si="477"/>
        <v>0.52</v>
      </c>
      <c r="Y200" s="137">
        <f t="shared" si="478"/>
        <v>4.2040402</v>
      </c>
      <c r="Z200" s="64" t="str">
        <f t="shared" si="479"/>
        <v>#REF!</v>
      </c>
      <c r="AA200" s="60">
        <f t="shared" si="480"/>
        <v>36</v>
      </c>
      <c r="AB200" s="66">
        <f t="shared" si="481"/>
        <v>3.6</v>
      </c>
      <c r="AC200" s="9"/>
      <c r="AD200" s="9"/>
      <c r="AE200" s="9"/>
      <c r="AF200" s="112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</row>
    <row r="201" ht="15.75" customHeight="1">
      <c r="A201" s="72"/>
      <c r="B201" s="119" t="str">
        <f t="shared" ref="B201:C201" si="486">IF(B164="","",B164)</f>
        <v/>
      </c>
      <c r="C201" s="146" t="str">
        <f t="shared" si="486"/>
        <v>Сгибания рук с гантелями</v>
      </c>
      <c r="D201" s="75">
        <f>ROUND(IFERROR((D195*(G195*H195+K195*L195+O195*P195+S195*T195)+D196*(G196*H196+K196*L196+O196*P196+S196*T196)+D197*(G197*H197+K197*L197+O197*P197+S197*T197)+D198*(G198*H198+K198*L198+O198*P198+S198*T198)+D199*(G199*H199+K199*L199+O199*P199+S199*T199)+D200*(G200*H200+K200*L200+O200*P200+S200*T200))/((G195*H195+K195*L195+O195*P195+S195*T195)+(G196*H196+K196*L196+O196*P196+S196*T196)+(G197*H197+K197*L197+O197*P197+S197*T197)+(G198*H198+K198*L198+O198*P198+S198*T198)+(G199*H199+K199*L199+O199*P199+S199*T199)+(G200*H200+K200*L200+O200*P200+S200*T200)),0),2)</f>
        <v>0.59</v>
      </c>
      <c r="E201" s="121" t="str">
        <f t="shared" si="452"/>
        <v/>
      </c>
      <c r="F201" s="122"/>
      <c r="G201" s="123"/>
      <c r="H201" s="123"/>
      <c r="I201" s="124"/>
      <c r="J201" s="122"/>
      <c r="K201" s="123"/>
      <c r="L201" s="123"/>
      <c r="M201" s="124"/>
      <c r="N201" s="122"/>
      <c r="O201" s="123"/>
      <c r="P201" s="123"/>
      <c r="Q201" s="124"/>
      <c r="R201" s="122"/>
      <c r="S201" s="123"/>
      <c r="T201" s="123"/>
      <c r="U201" s="124"/>
      <c r="V201" s="125">
        <f>SUM(V195:V200)</f>
        <v>4387.8</v>
      </c>
      <c r="W201" s="82">
        <f>IFERROR(V201/AA201,0)</f>
        <v>16.94131274</v>
      </c>
      <c r="X201" s="83">
        <f>ROUND(IFERROR(((I195*G195*H195+M195*K195*L195+Q195*O195*P195+U195*S195*T195)+(I196*G196*H196+M196*K196*L196+Q196*O196*P196+U196*S196*T196)+(I197*G197*H197+M197*K197*L197+Q197*O197*P197+U197*S197*T197)+(I198*G198*H198+M198*K198*L198+Q198*O198*P198+U198*S198*T198)+(I199*G199*H199+M199*K199*L199+Q199*O199*P199+U199*S199*T199)+(I200*G200*H200+M200*K200*L200+Q200*O200*P200+U200*S200*T200))/((G195*H195+K195*L195+O195*P195+S195*T195)+(G196*H196+K196*L196+O196*P196+S196*T196)+(G197*H197+K197*L197+O197*P197+S197*T197)+(G198*H198+K198*L198+O198*P198+S198*T198)+(G199*H199+K199*L199+O199*P199+S199*T199)+(G200*H200+K200*L200+O200*P200+S200*T200)),0),3)</f>
        <v>0.499</v>
      </c>
      <c r="Y201" s="84"/>
      <c r="Z201" s="82" t="str">
        <f t="shared" ref="Z201:AA201" si="487">SUM(Z195:Z200)</f>
        <v>#REF!</v>
      </c>
      <c r="AA201" s="85">
        <f t="shared" si="487"/>
        <v>259</v>
      </c>
      <c r="AB201" s="86">
        <f>IF(SUM(AB195:AB200)=0,TIME(,0,),TIME(,SUM(AB195:AB200)+30,))</f>
        <v>0.05625</v>
      </c>
      <c r="AC201" s="9"/>
      <c r="AD201" s="9"/>
      <c r="AE201" s="9"/>
      <c r="AF201" s="112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</row>
    <row r="202" ht="15.75" customHeight="1">
      <c r="A202" s="126" t="s">
        <v>36</v>
      </c>
      <c r="B202" s="127" t="s">
        <v>18</v>
      </c>
      <c r="C202" s="176" t="str">
        <f t="shared" ref="C202:C203" si="488">IF(C165="","",C165)</f>
        <v>Ягодичный мост</v>
      </c>
      <c r="D202" s="29">
        <f t="shared" ref="D202:D207" si="489">D165</f>
        <v>1.3</v>
      </c>
      <c r="E202" s="129" t="str">
        <f t="shared" si="452"/>
        <v/>
      </c>
      <c r="F202" s="31">
        <f t="shared" ref="F202:F207" si="490">IF(I202&lt;&gt;0,(IFERROR(IF($Y202&gt;50,MROUND($Y202*I202,2.5),IF($Y202&lt;15,MROUND($Y202*I202,0.1),MROUND($Y202*I202,1))),)),"")</f>
        <v>47.5</v>
      </c>
      <c r="G202" s="32">
        <v>12.0</v>
      </c>
      <c r="H202" s="32">
        <v>1.0</v>
      </c>
      <c r="I202" s="33">
        <v>0.45</v>
      </c>
      <c r="J202" s="31">
        <f t="shared" ref="J202:J207" si="491">IF(M202&lt;&gt;0,(IFERROR(IF($Y202&gt;50,MROUND($Y202*M202,2.5),IF($Y202&lt;15,MROUND($Y202*M202,0.1),MROUND($Y202*M202,1))),)),"")</f>
        <v>62.5</v>
      </c>
      <c r="K202" s="32">
        <v>10.0</v>
      </c>
      <c r="L202" s="32">
        <v>3.0</v>
      </c>
      <c r="M202" s="33">
        <v>0.59</v>
      </c>
      <c r="N202" s="31" t="str">
        <f t="shared" ref="N202:N207" si="492">IF(Q202&lt;&gt;0,(IFERROR(IF($Y202&gt;50,MROUND($Y202*Q202,2.5),IF($Y202&lt;15,MROUND($Y202*Q202,0.1),MROUND($Y202*Q202,1))),)),"")</f>
        <v/>
      </c>
      <c r="O202" s="32"/>
      <c r="P202" s="32"/>
      <c r="Q202" s="33">
        <v>0.0</v>
      </c>
      <c r="R202" s="31" t="str">
        <f t="shared" ref="R202:R207" si="493">IF(U202&lt;&gt;0,(IFERROR(IF($Y202&gt;50,MROUND($Y202*U202,2.5),IF($Y202&lt;15,MROUND($Y202*U202,0.1),MROUND($Y202*U202,1))),)),"")</f>
        <v/>
      </c>
      <c r="S202" s="32"/>
      <c r="T202" s="32"/>
      <c r="U202" s="33">
        <v>0.0</v>
      </c>
      <c r="V202" s="130">
        <f t="shared" ref="V202:V207" si="494">(IF(ISNUMBER(F202),F202,1)*G202*H202+IF(ISNUMBER(J202),J202,1)*K202*L202+IF(ISNUMBER(N202),N202,1)*O202*P202+IF(ISNUMBER(R202),R202,1)*S202*T202)*IF(ISNUMBER(E202),E202,1)</f>
        <v>2445</v>
      </c>
      <c r="W202" s="36">
        <f t="shared" ref="W202:W207" si="495">IFERROR((IF(ISNUMBER(F202),F202,1)*G202*H202+IF(ISNUMBER(J202),J202,1)*K202*L202+IF(ISNUMBER(N202),N202,1)*O202*P202+IF(ISNUMBER(R202),R202,1)*S202*T202)*IF(ISNUMBER(E202),E202,1)/(G202*H202+K202*L202+O202*P202+S202*T202),0)</f>
        <v>58.21428571</v>
      </c>
      <c r="X202" s="34">
        <f t="shared" ref="X202:X207" si="496">ROUND(IFERROR((W202/(Y202*IF(ISNUMBER(E202),E202,1))),0),2)</f>
        <v>0.55</v>
      </c>
      <c r="Y202" s="37">
        <f t="shared" ref="Y202:Y207" si="497">IF(ISNUMBER(Y165), Y165+(Y165*$Y$186),"")</f>
        <v>105.101005</v>
      </c>
      <c r="Z202" s="36" t="str">
        <f t="shared" ref="Z202:Z207" si="498">(IF(I202&lt;30%,0,IF(I202&lt;35%,F202*G202*H202*F!$B$33,IF(I202&lt;40%,F202*G202*H202*F!$B$38,IF(I202&lt;45%,F202*G202*H202*F!$B$43,IF(I202&lt;50%,F202*G202*H202*F!$B$48,IF(I202=50%,F202*G202*H202*F!$B$50,IF(I202=51%,F202*G202*H202*F!$B$51,IF(I202=52%,F202*G202*H202*F!$B$52,IF(I202=53%,F202*G202*H202*F!$B$53,IF(I202=54%,F202*G202*H202*F!$B$54,IF(I202=55%,F202*G202*H202*F!$B$55,IF(I202=56%,F202*G202*H202*F!$B$56,IF(I202=57%,F202*G202*H202*F!$B$57,IF(I202=58%,F202*G202*H202*F!$B$58,IF(I202=59%,F202*G202*H202*F!$B$59,IF(I202=60%,F202*G202*H202*F!$B$60,IF(I202=61%,F202*G202*H202*F!$B$61,IF(I202=62%,F202*G202*H202*F!$B$62,IF(I202=63%,F202*G202*H202*F!$B$63,IF(I202=64%,F202*G202*H202*F!$B$64,IF(I202=65%,F202*G202*H202*F!$B$65,IF(I202=66%,F202*G202*H202*F!$B$66,IF(I202=67%,F202*G202*H202*F!$B$67,IF(I202=68%,F202*G202*H202*F!$B$68,IF(I202=69%,F202*G202*H202*F!$B$69,IF(I202=70%,F202*G202*H202*F!$B$70,IF(I202=71%,F202*G202*H202*F!$B$71,IF(I202=72%,F202*G202*H202*F!$B$72,IF(I202=73%,F202*G202*H202*F!$B$73,IF(I202=74%,F202*G202*H202*F!$B$74,IF(I202=75%,F202*G202*H202*F!$B$75,IF(I202=76%,F202*G202*H202*F!$B$76,IF(I202=77%,F202*G202*H202*F!$B$77,IF(I202=78%,F202*G202*H202*F!$B$78,IF(I202=79%,F202*G202*H202*F!$B$79,IF(I202=80%,F202*G202*H202*F!$B$80,IF(I202=81%,F202*G202*H202*F!$B$81,IF(I202=82%,F202*G202*H202*F!$B$82,IF(I202=83%,F202*G202*H202*F!$B$83,IF(I202=84%,F202*G202*H202*F!$B$84,IF(I202=85%,F202*G202*H202*F!$B$85,IF(I202=86%,F202*G202*H202*F!$B$86,IF(I202=87%,F202*G202*H202*F!$B$87,IF(I202=88%,F202*G202*H202*F!$B$88,IF(I202=89%,F202*G202*H202*F!$B$89,IF(I202=90%,F202*G202*H202*F!$B$90,IF(I202=91%,F202*G202*H202*F!$B$91,IF(I202=92%,F202*G202*H202*F!$B$92,IF(I202=93%,F202*G202*H202*F!$B$93,IF(I202=94%,F202*G202*H202*F!$B$94,IF(I202=95%,F202*G202*H202*F!$B$95,IF(I202=96%,F202*G202*H202*F!$B$96,IF(I202=97%,F202*G202*H202*F!$B$97,IF(I202=98%,F202*G202*H202*F!$B$98,IF(I202=99%,F202*G202*H202*F!$B$99,IF(I202&gt;99%,F202*G202*H202*F!$B$100,))))))))))))))))))))))))))))))))))))))))))))))))))))))))+IF(M202&lt;30%,0,IF(M202&lt;35%,J202*K202*L202*F!$B$33,IF(M202&lt;40%,J202*K202*L202*F!$B$38,IF(M202&lt;45%,J202*K202*L202*F!$B$43,IF(M202&lt;50%,J202*K202*L202*F!$B$48,IF(M202=50%,J202*K202*L202*F!$B$50,IF(M202=51%,J202*K202*L202*F!$B$51,IF(M202=52%,J202*K202*L202*F!$B$52,IF(M202=53%,J202*K202*L202*F!$B$53,IF(M202=54%,J202*K202*L202*F!$B$54,IF(M202=55%,J202*K202*L202*F!$B$55,IF(M202=56%,J202*K202*L202*F!$B$56,IF(M202=57%,J202*K202*L202*F!$B$57,IF(M202=58%,J202*K202*L202*F!$B$58,IF(M202=59%,J202*K202*L202*F!$B$59,IF(M202=60%,J202*K202*L202*F!$B$60,IF(M202=61%,J202*K202*L202*F!$B$61,IF(M202=62%,J202*K202*L202*F!$B$62,IF(M202=63%,J202*K202*L202*F!$B$63,IF(M202=64%,J202*K202*L202*F!$B$64,IF(M202=65%,J202*K202*L202*F!$B$65,IF(M202=66%,J202*K202*L202*F!$B$66,IF(M202=67%,J202*K202*L202*F!$B$67,IF(M202=68%,J202*K202*L202*F!$B$68,IF(M202=69%,J202*K202*L202*F!$B$69,IF(M202=70%,J202*K202*L202*F!$B$70,IF(M202=71%,J202*K202*L202*F!$B$71,IF(M202=72%,J202*K202*L202*F!$B$72,IF(M202=73%,J202*K202*L202*F!$B$73,IF(M202=74%,J202*K202*L202*F!$B$74,IF(M202=75%,J202*K202*L202*F!$B$75,IF(M202=76%,J202*K202*L202*F!$B$76,IF(M202=77%,J202*K202*L202*F!$B$77,IF(M202=78%,J202*K202*L202*F!$B$78,IF(M202=79%,J202*K202*L202*F!$B$79,IF(M202=80%,J202*K202*L202*F!$B$80,IF(M202=81%,J202*K202*L202*F!$B$81,IF(M202=82%,J202*K202*L202*F!$B$82,IF(M202=83%,J202*K202*L202*F!$B$83,IF(M202=84%,J202*K202*L202*F!$B$84,IF(M202=85%,J202*K202*L202*F!$B$85,IF(M202=86%,J202*K202*L202*F!$B$86,IF(M202=87%,J202*K202*L202*F!$B$87,IF(M202=88%,J202*K202*L202*F!$B$88,IF(M202=89%,J202*K202*L202*F!$B$89,IF(M202=90%,J202*K202*L202*F!$B$90,IF(M202=91%,J202*K202*L202*F!$B$91,IF(M202=92%,J202*K202*L202*F!$B$92,IF(M202=93%,J202*K202*L202*F!$B$93,IF(M202=94%,J202*K202*L202*F!$B$94,IF(M202=95%,J202*K202*L202*F!$B$95,IF(M202=96%,J202*K202*L202*F!$B$96,IF(M202=97%,J202*K202*L202*F!$B$97,IF(M202=98%,J202*K202*L202*F!$B$98,IF(M202=99%,J202*K202*L202*F!$B$99,IF(M202&gt;99%,J202*K202*L202*F!$B$100,))))))))))))))))))))))))))))))))))))))))))))))))))))))))+IF(Q202&lt;30%,0,IF(Q202&lt;35%,N202*O202*P202*F!$B$33,IF(Q202&lt;40%,N202*O202*P202*F!$B$38,IF(Q202&lt;45%,N202*O202*P202*F!$B$43,IF(Q202&lt;50%,N202*O202*P202*F!$B$48,IF(Q202=50%,N202*O202*P202*F!$B$50,IF(Q202=51%,N202*O202*P202*F!$B$51,IF(Q202=52%,N202*O202*P202*F!$B$52,IF(Q202=53%,N202*O202*P202*F!$B$53,IF(Q202=54%,N202*O202*P202*F!$B$54,IF(Q202=55%,N202*O202*P202*F!$B$55,IF(Q202=56%,N202*O202*P202*F!$B$56,IF(Q202=57%,N202*O202*P202*F!$B$57,IF(Q202=58%,N202*O202*P202*F!$B$58,IF(Q202=59%,N202*O202*P202*F!$B$59,IF(Q202=60%,N202*O202*P202*F!$B$60,IF(Q202=61%,N202*O202*P202*F!$B$61,IF(Q202=62%,N202*O202*P202*F!$B$62,IF(Q202=63%,N202*O202*P202*F!$B$63,IF(Q202=64%,N202*O202*P202*F!$B$64,IF(Q202=65%,N202*O202*P202*F!$B$65,IF(Q202=66%,N202*O202*P202*F!$B$66,IF(Q202=67%,N202*O202*P202*F!$B$67,IF(Q202=68%,N202*O202*P202*F!$B$68,IF(Q202=69%,N202*O202*P202*F!$B$69,IF(Q202=70%,N202*O202*P202*F!$B$70,IF(Q202=71%,N202*O202*P202*F!$B$71,IF(Q202=72%,N202*O202*P202*F!$B$72,IF(Q202=73%,N202*O202*P202*F!$B$73,IF(Q202=74%,N202*O202*P202*F!$B$74,IF(Q202=75%,N202*O202*P202*F!$B$75,IF(Q202=76%,N202*O202*P202*F!$B$76,IF(Q202=77%,N202*O202*P202*F!$B$77,IF(Q202=78%,N202*O202*P202*F!$B$78,IF(Q202=79%,N202*O202*P202*F!$B$79,IF(Q202=80%,N202*O202*P202*F!$B$80,IF(Q202=81%,N202*O202*P202*F!$B$81,IF(Q202=82%,N202*O202*P202*F!$B$82,IF(Q202=83%,N202*O202*P202*F!$B$83,IF(Q202=84%,N202*O202*P202*F!$B$84,IF(Q202=85%,N202*O202*P202*F!$B$85,IF(Q202=86%,N202*O202*P202*F!$B$86,IF(Q202=87%,N202*O202*P202*F!$B$87,IF(Q202=88%,N202*O202*P202*F!$B$88,IF(Q202=89%,N202*O202*P202*F!$B$89,IF(Q202=90%,N202*O202*P202*F!$B$90,IF(Q202=91%,N202*O202*P202*F!$B$91,IF(Q202=92%,N202*O202*P202*F!$B$92,IF(Q202=93%,N202*O202*P202*F!$B$93,IF(Q202=94%,N202*O202*P202*F!$B$94,IF(Q202=95%,N202*O202*P202*F!$B$95,IF(Q202=96%,N202*O202*P202*F!$B$96,IF(Q202=97%,N202*O202*P202*F!$B$97,IF(Q202=98%,N202*O202*P202*F!$B$98,IF(Q202=99%,N202*O202*P202*F!$B$99,IF(Q202&gt;99%,N202*O202*P202*F!$B$100,))))))))))))))))))))))))))))))))))))))))))))))))))))))))+IF(U202&lt;30%,0,IF(U202&lt;35%,R202*S202*T202*F!$B$33,IF(U202&lt;40%,R202*S202*T202*F!$B$38,IF(U202&lt;45%,R202*S202*T202*F!$B$43,IF(U202&lt;50%,R202*S202*T202*F!$B$48,IF(U202=50%,R202*S202*T202*F!$B$50,IF(U202=51%,R202*S202*T202*F!$B$51,IF(U202=52%,R202*S202*T202*F!$B$52,IF(U202=53%,R202*S202*T202*F!$B$53,IF(U202=54%,R202*S202*T202*F!$B$54,IF(U202=55%,R202*S202*T202*F!$B$55,IF(U202=56%,R202*S202*T202*F!$B$56,IF(U202=57%,R202*S202*T202*F!$B$57,IF(U202=58%,R202*S202*T202*F!$B$58,IF(U202=59%,R202*S202*T202*F!$B$59,IF(U202=60%,R202*S202*T202*F!$B$60,IF(U202=61%,R202*S202*T202*F!$B$61,IF(U202=62%,R202*S202*T202*F!$B$62,IF(U202=63%,R202*S202*T202*F!$B$63,IF(U202=64%,R202*S202*T202*F!$B$64,IF(U202=65%,R202*S202*T202*F!$B$65,IF(U202=66%,R202*S202*T202*F!$B$66,IF(U202=67%,R202*S202*T202*F!$B$67,IF(U202=68%,R202*S202*T202*F!$B$68,IF(U202=69%,R202*S202*T202*F!$B$69,IF(U202=70%,R202*S202*T202*F!$B$70,IF(U202=71%,R202*S202*T202*F!$B$71,IF(U202=72%,R202*S202*T202*F!$B$72,IF(U202=73%,R202*S202*T202*F!$B$73,IF(U202=74%,R202*S202*T202*F!$B$74,IF(U202=75%,R202*S202*T202*F!$B$75,IF(U202=76%,R202*S202*T202*F!$B$76,IF(U202=77%,R202*S202*T202*F!$B$77,IF(U202=78%,R202*S202*T202*F!$B$78,IF(U202=79%,R202*S202*T202*F!$B$79,IF(U202=80%,R202*S202*T202*F!$B$80,IF(U202=81%,R202*S202*T202*F!$B$81,IF(U202=82%,R202*S202*T202*F!$B$82,IF(U202=83%,R202*S202*T202*F!$B$83,IF(U202=84%,R202*S202*T202*F!$B$84,IF(U202=85%,R202*S202*T202*F!$B$85,IF(U202=86%,R202*S202*T202*F!$B$86,IF(U202=87%,R202*S202*T202*F!$B$87,IF(U202=88%,R202*S202*T202*F!$B$88,IF(U202=89%,R202*S202*T202*F!$B$89,IF(U202=90%,R202*S202*T202*F!$B$90,IF(U202=91%,R202*S202*T202*F!$B$91,IF(U202=92%,R202*S202*T202*F!$B$92,IF(U202=93%,R202*S202*T202*F!$B$93,IF(U202=94%,R202*S202*T202*F!$B$94,IF(U202=95%,R202*S202*T202*F!$B$95,IF(U202=96%,R202*S202*T202*F!$B$96,IF(U202=97%,R202*S202*T202*F!$B$97,IF(U202=98%,R202*S202*T202*F!$B$98,IF(U202=99%,R202*S202*T202*F!$B$99,IF(U202&gt;99%,R202*S202*T202*F!$B$100)))))))))))))))))))))))))))))))))))))))))))))))))))))))))*IF(ISNUMBER(E202),E202,1)*IF(ISNUMBER(D202),D202,1)</f>
        <v>#REF!</v>
      </c>
      <c r="AA202" s="32">
        <f t="shared" ref="AA202:AA207" si="499">G202*H202+K202*L202+O202*P202+S202*T202</f>
        <v>42</v>
      </c>
      <c r="AB202" s="38">
        <f t="shared" ref="AB202:AB207" si="500">(H202*(IF(I202&lt;45%,0.5,IF(I202&lt;55%,0.8,IF(I202&lt;65%,0.9,IF(I202&lt;75%,1,IF(I202&lt;85%,1.1,1.2))))))+L202*(IF(M202&lt;45%,0.5,IF(M202&lt;55%,0.8,IF(M202&lt;65%,0.9,IF(M202&lt;75%,1,IF(M202&lt;85%,1.1,1.2))))))+P202*(IF(Q202&lt;45%,0.5,IF(Q202&lt;55%,0.8,IF(Q202&lt;65%,0.9,IF(Q202&lt;75%,1,IF(Q202&lt;85%,1.1,1.2))))))+T202*(IF(U202&lt;45%,0.5,IF(U202&lt;55%,0.8,IF(U202&lt;65%,0.9,IF(U202&lt;75%,1,IF(U202&lt;85%,1.1,1.2)))))))*IF(D202&gt;=0.8,6,IF(D202&lt;=0.4,1.5,3))</f>
        <v>21</v>
      </c>
      <c r="AC202" s="9"/>
      <c r="AD202" s="9"/>
      <c r="AE202" s="9"/>
      <c r="AF202" s="112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</row>
    <row r="203" ht="15.0" customHeight="1">
      <c r="A203" s="43">
        <f>A196+2</f>
        <v>42370</v>
      </c>
      <c r="B203" s="131" t="s">
        <v>20</v>
      </c>
      <c r="C203" s="177" t="str">
        <f t="shared" si="488"/>
        <v>Зашагивания на платформу</v>
      </c>
      <c r="D203" s="46">
        <f t="shared" si="489"/>
        <v>1</v>
      </c>
      <c r="E203" s="133" t="str">
        <f t="shared" si="452"/>
        <v/>
      </c>
      <c r="F203" s="48">
        <f t="shared" si="490"/>
        <v>0</v>
      </c>
      <c r="G203" s="49">
        <v>12.0</v>
      </c>
      <c r="H203" s="49">
        <v>3.0</v>
      </c>
      <c r="I203" s="50">
        <v>0.35</v>
      </c>
      <c r="J203" s="48" t="str">
        <f t="shared" si="491"/>
        <v/>
      </c>
      <c r="K203" s="49"/>
      <c r="L203" s="49"/>
      <c r="M203" s="50">
        <v>0.0</v>
      </c>
      <c r="N203" s="48" t="str">
        <f t="shared" si="492"/>
        <v/>
      </c>
      <c r="O203" s="49"/>
      <c r="P203" s="49"/>
      <c r="Q203" s="50">
        <v>0.0</v>
      </c>
      <c r="R203" s="48" t="str">
        <f t="shared" si="493"/>
        <v/>
      </c>
      <c r="S203" s="49"/>
      <c r="T203" s="49"/>
      <c r="U203" s="50">
        <v>0.0</v>
      </c>
      <c r="V203" s="134">
        <f t="shared" si="494"/>
        <v>0</v>
      </c>
      <c r="W203" s="53">
        <f t="shared" si="495"/>
        <v>0</v>
      </c>
      <c r="X203" s="54">
        <f t="shared" si="496"/>
        <v>0</v>
      </c>
      <c r="Y203" s="137">
        <f t="shared" si="497"/>
        <v>0</v>
      </c>
      <c r="Z203" s="53" t="str">
        <f t="shared" si="498"/>
        <v>#REF!</v>
      </c>
      <c r="AA203" s="49">
        <f t="shared" si="499"/>
        <v>36</v>
      </c>
      <c r="AB203" s="56">
        <f t="shared" si="500"/>
        <v>9</v>
      </c>
      <c r="AC203" s="9"/>
      <c r="AD203" s="9"/>
      <c r="AE203" s="9"/>
      <c r="AF203" s="112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</row>
    <row r="204" ht="15.75" customHeight="1">
      <c r="A204" s="57"/>
      <c r="B204" s="135" t="str">
        <f t="shared" ref="B204:C204" si="501">IF(B167="","",B167)</f>
        <v>Средняя</v>
      </c>
      <c r="C204" s="177" t="str">
        <f t="shared" si="501"/>
        <v>Разведение ног</v>
      </c>
      <c r="D204" s="46">
        <f t="shared" si="489"/>
        <v>0.5</v>
      </c>
      <c r="E204" s="133">
        <f t="shared" si="452"/>
        <v>5</v>
      </c>
      <c r="F204" s="59">
        <f t="shared" si="490"/>
        <v>4.7</v>
      </c>
      <c r="G204" s="60">
        <v>12.0</v>
      </c>
      <c r="H204" s="60">
        <v>4.0</v>
      </c>
      <c r="I204" s="61">
        <v>0.45</v>
      </c>
      <c r="J204" s="59">
        <f t="shared" si="491"/>
        <v>6</v>
      </c>
      <c r="K204" s="60">
        <v>10.0</v>
      </c>
      <c r="L204" s="60">
        <v>1.0</v>
      </c>
      <c r="M204" s="61">
        <v>0.57</v>
      </c>
      <c r="N204" s="59" t="str">
        <f t="shared" si="492"/>
        <v/>
      </c>
      <c r="O204" s="60"/>
      <c r="P204" s="60"/>
      <c r="Q204" s="61">
        <v>0.0</v>
      </c>
      <c r="R204" s="59" t="str">
        <f t="shared" si="493"/>
        <v/>
      </c>
      <c r="S204" s="60"/>
      <c r="T204" s="60"/>
      <c r="U204" s="61">
        <v>0.0</v>
      </c>
      <c r="V204" s="104">
        <f t="shared" si="494"/>
        <v>1428</v>
      </c>
      <c r="W204" s="64">
        <f t="shared" si="495"/>
        <v>24.62068966</v>
      </c>
      <c r="X204" s="65">
        <f t="shared" si="496"/>
        <v>0.47</v>
      </c>
      <c r="Y204" s="137">
        <f t="shared" si="497"/>
        <v>10.5101005</v>
      </c>
      <c r="Z204" s="64" t="str">
        <f t="shared" si="498"/>
        <v>#REF!</v>
      </c>
      <c r="AA204" s="60">
        <f t="shared" si="499"/>
        <v>58</v>
      </c>
      <c r="AB204" s="66">
        <f t="shared" si="500"/>
        <v>12.3</v>
      </c>
      <c r="AC204" s="9"/>
      <c r="AD204" s="9"/>
      <c r="AE204" s="9"/>
      <c r="AF204" s="112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</row>
    <row r="205" ht="15.75" customHeight="1">
      <c r="A205" s="57"/>
      <c r="B205" s="135" t="str">
        <f t="shared" ref="B205:C205" si="502">IF(B168="","",B168)</f>
        <v>Тяжелая</v>
      </c>
      <c r="C205" s="177" t="str">
        <f t="shared" si="502"/>
        <v>Жим гантелй лежа</v>
      </c>
      <c r="D205" s="46">
        <f t="shared" si="489"/>
        <v>0.4</v>
      </c>
      <c r="E205" s="133">
        <f t="shared" si="452"/>
        <v>2</v>
      </c>
      <c r="F205" s="48">
        <f t="shared" si="490"/>
        <v>6.3</v>
      </c>
      <c r="G205" s="49">
        <v>12.0</v>
      </c>
      <c r="H205" s="49">
        <v>1.0</v>
      </c>
      <c r="I205" s="50">
        <v>0.5</v>
      </c>
      <c r="J205" s="48">
        <f t="shared" si="491"/>
        <v>7.6</v>
      </c>
      <c r="K205" s="49">
        <v>10.0</v>
      </c>
      <c r="L205" s="49">
        <v>3.0</v>
      </c>
      <c r="M205" s="50">
        <v>0.6</v>
      </c>
      <c r="N205" s="48" t="str">
        <f t="shared" si="492"/>
        <v/>
      </c>
      <c r="O205" s="49"/>
      <c r="P205" s="49"/>
      <c r="Q205" s="50">
        <v>0.0</v>
      </c>
      <c r="R205" s="48" t="str">
        <f t="shared" si="493"/>
        <v/>
      </c>
      <c r="S205" s="49"/>
      <c r="T205" s="49"/>
      <c r="U205" s="50">
        <v>0.0</v>
      </c>
      <c r="V205" s="134">
        <f t="shared" si="494"/>
        <v>607.2</v>
      </c>
      <c r="W205" s="53">
        <f t="shared" si="495"/>
        <v>14.45714286</v>
      </c>
      <c r="X205" s="54">
        <f t="shared" si="496"/>
        <v>0.57</v>
      </c>
      <c r="Y205" s="137">
        <f t="shared" si="497"/>
        <v>12.6121206</v>
      </c>
      <c r="Z205" s="53" t="str">
        <f t="shared" si="498"/>
        <v>#REF!</v>
      </c>
      <c r="AA205" s="49">
        <f t="shared" si="499"/>
        <v>42</v>
      </c>
      <c r="AB205" s="56">
        <f t="shared" si="500"/>
        <v>5.25</v>
      </c>
      <c r="AC205" s="9"/>
      <c r="AD205" s="9"/>
      <c r="AE205" s="9"/>
      <c r="AF205" s="112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</row>
    <row r="206" ht="15.75" customHeight="1">
      <c r="A206" s="57"/>
      <c r="B206" s="135" t="str">
        <f t="shared" ref="B206:C206" si="503">IF(B169="","",B169)</f>
        <v>Средняя</v>
      </c>
      <c r="C206" s="177" t="str">
        <f t="shared" si="503"/>
        <v>Ходьба выпадами</v>
      </c>
      <c r="D206" s="46">
        <f t="shared" si="489"/>
        <v>0.4</v>
      </c>
      <c r="E206" s="133">
        <f t="shared" si="452"/>
        <v>2</v>
      </c>
      <c r="F206" s="59">
        <f t="shared" si="490"/>
        <v>8</v>
      </c>
      <c r="G206" s="60">
        <v>10.0</v>
      </c>
      <c r="H206" s="60">
        <v>1.0</v>
      </c>
      <c r="I206" s="61">
        <v>0.48</v>
      </c>
      <c r="J206" s="59">
        <f t="shared" si="491"/>
        <v>9</v>
      </c>
      <c r="K206" s="60">
        <v>8.0</v>
      </c>
      <c r="L206" s="60">
        <v>3.0</v>
      </c>
      <c r="M206" s="61">
        <v>0.54</v>
      </c>
      <c r="N206" s="59" t="str">
        <f t="shared" si="492"/>
        <v/>
      </c>
      <c r="O206" s="60"/>
      <c r="P206" s="60"/>
      <c r="Q206" s="61">
        <v>0.0</v>
      </c>
      <c r="R206" s="59" t="str">
        <f t="shared" si="493"/>
        <v/>
      </c>
      <c r="S206" s="60"/>
      <c r="T206" s="60"/>
      <c r="U206" s="61">
        <v>0.0</v>
      </c>
      <c r="V206" s="104">
        <f t="shared" si="494"/>
        <v>592</v>
      </c>
      <c r="W206" s="64">
        <f t="shared" si="495"/>
        <v>17.41176471</v>
      </c>
      <c r="X206" s="62">
        <f t="shared" si="496"/>
        <v>0.55</v>
      </c>
      <c r="Y206" s="137">
        <f t="shared" si="497"/>
        <v>15.76515075</v>
      </c>
      <c r="Z206" s="64" t="str">
        <f t="shared" si="498"/>
        <v>#REF!</v>
      </c>
      <c r="AA206" s="60">
        <f t="shared" si="499"/>
        <v>34</v>
      </c>
      <c r="AB206" s="66">
        <f t="shared" si="500"/>
        <v>4.8</v>
      </c>
      <c r="AC206" s="9"/>
      <c r="AD206" s="9"/>
      <c r="AE206" s="9"/>
      <c r="AF206" s="112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</row>
    <row r="207" ht="15.75" customHeight="1">
      <c r="A207" s="57"/>
      <c r="B207" s="135" t="str">
        <f t="shared" ref="B207:C207" si="504">IF(B170="","",B170)</f>
        <v>Средняя</v>
      </c>
      <c r="C207" s="177" t="str">
        <f t="shared" si="504"/>
        <v>Гиперэкстензия на ягодицы</v>
      </c>
      <c r="D207" s="46">
        <f t="shared" si="489"/>
        <v>0.4</v>
      </c>
      <c r="E207" s="133" t="str">
        <f t="shared" si="452"/>
        <v/>
      </c>
      <c r="F207" s="48">
        <f t="shared" si="490"/>
        <v>16</v>
      </c>
      <c r="G207" s="49">
        <v>10.0</v>
      </c>
      <c r="H207" s="49">
        <v>1.0</v>
      </c>
      <c r="I207" s="50">
        <v>0.5</v>
      </c>
      <c r="J207" s="48">
        <f t="shared" si="491"/>
        <v>19</v>
      </c>
      <c r="K207" s="49">
        <v>8.0</v>
      </c>
      <c r="L207" s="49">
        <v>3.0</v>
      </c>
      <c r="M207" s="50">
        <v>0.6</v>
      </c>
      <c r="N207" s="48" t="str">
        <f t="shared" si="492"/>
        <v/>
      </c>
      <c r="O207" s="49"/>
      <c r="P207" s="49"/>
      <c r="Q207" s="50">
        <v>0.0</v>
      </c>
      <c r="R207" s="48" t="str">
        <f t="shared" si="493"/>
        <v/>
      </c>
      <c r="S207" s="49"/>
      <c r="T207" s="49"/>
      <c r="U207" s="50">
        <v>0.0</v>
      </c>
      <c r="V207" s="134">
        <f t="shared" si="494"/>
        <v>616</v>
      </c>
      <c r="W207" s="53">
        <f t="shared" si="495"/>
        <v>18.11764706</v>
      </c>
      <c r="X207" s="54">
        <f t="shared" si="496"/>
        <v>0.57</v>
      </c>
      <c r="Y207" s="137">
        <f t="shared" si="497"/>
        <v>31.5303015</v>
      </c>
      <c r="Z207" s="53" t="str">
        <f t="shared" si="498"/>
        <v>#REF!</v>
      </c>
      <c r="AA207" s="49">
        <f t="shared" si="499"/>
        <v>34</v>
      </c>
      <c r="AB207" s="56">
        <f t="shared" si="500"/>
        <v>5.25</v>
      </c>
      <c r="AC207" s="9"/>
      <c r="AD207" s="9"/>
      <c r="AE207" s="9"/>
      <c r="AF207" s="112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</row>
    <row r="208" ht="15.75" customHeight="1">
      <c r="A208" s="72"/>
      <c r="B208" s="138" t="str">
        <f t="shared" ref="B208:C208" si="505">IF(B171="","",B171)</f>
        <v/>
      </c>
      <c r="C208" s="178" t="str">
        <f t="shared" si="505"/>
        <v>Скручивания (пресс)</v>
      </c>
      <c r="D208" s="75">
        <f>ROUND(IFERROR((D202*(G202*H202+K202*L202+O202*P202+S202*T202)+D203*(G203*H203+K203*L203+O203*P203+S203*T203)+D204*(G204*H204+K204*L204+O204*P204+S204*T204)+D205*(G205*H205+K205*L205+O205*P205+S205*T205)+D206*(G206*H206+K206*L206+O206*P206+S206*T206)+D207*(G207*H207+K207*L207+O207*P207+S207*T207))/((G202*H202+K202*L202+O202*P202+S202*T202)+(G203*H203+K203*L203+O203*P203+S203*T203)+(G204*H204+K204*L204+O204*P204+S204*T204)+(G205*H205+K205*L205+O205*P205+S205*T205)+(G206*H206+K206*L206+O206*P206+S206*T206)+(G207*H207+K207*L207+O207*P207+S207*T207)),0),2)</f>
        <v>0.67</v>
      </c>
      <c r="E208" s="140" t="str">
        <f t="shared" si="452"/>
        <v/>
      </c>
      <c r="F208" s="77"/>
      <c r="G208" s="78"/>
      <c r="H208" s="78"/>
      <c r="I208" s="79"/>
      <c r="J208" s="77"/>
      <c r="K208" s="78"/>
      <c r="L208" s="78"/>
      <c r="M208" s="79"/>
      <c r="N208" s="77"/>
      <c r="O208" s="78"/>
      <c r="P208" s="78"/>
      <c r="Q208" s="79"/>
      <c r="R208" s="77"/>
      <c r="S208" s="78"/>
      <c r="T208" s="78"/>
      <c r="U208" s="79"/>
      <c r="V208" s="125">
        <f>SUM(V202:V207)</f>
        <v>5688.2</v>
      </c>
      <c r="W208" s="82">
        <f>IFERROR(V208/AA208,0)</f>
        <v>23.12276423</v>
      </c>
      <c r="X208" s="83">
        <f>ROUND(IFERROR(((I202*G202*H202+M202*K202*L202+Q202*O202*P202+U202*S202*T202)+(I203*G203*H203+M203*K203*L203+Q203*O203*P203+U203*S203*T203)+(I204*G204*H204+M204*K204*L204+Q204*O204*P204+U204*S204*T204)+(I205*G205*H205+M205*K205*L205+Q205*O205*P205+U205*S205*T205)+(I206*G206*H206+M206*K206*L206+Q206*O206*P206+U206*S206*T206)+(I207*G207*H207+M207*K207*L207+Q207*O207*P207+U207*S207*T207))/((G202*H202+K202*L202+O202*P202+S202*T202)+(G203*H203+K203*L203+O203*P203+S203*T203)+(G204*H204+K204*L204+O204*P204+S204*T204)+(G205*H205+K205*L205+O205*P205+S205*T205)+(G206*H206+K206*L206+O206*P206+S206*T206)+(G207*H207+K207*L207+O207*P207+S207*T207)),0),3)</f>
        <v>0.505</v>
      </c>
      <c r="Y208" s="84"/>
      <c r="Z208" s="82" t="str">
        <f t="shared" ref="Z208:AA208" si="506">SUM(Z202:Z207)</f>
        <v>#REF!</v>
      </c>
      <c r="AA208" s="85">
        <f t="shared" si="506"/>
        <v>246</v>
      </c>
      <c r="AB208" s="86">
        <f>IF(SUM(AB202:AB207)=0,TIME(,0,),TIME(,SUM(AB202:AB207)+30,))</f>
        <v>0.06041666667</v>
      </c>
      <c r="AC208" s="9"/>
      <c r="AD208" s="9"/>
      <c r="AE208" s="9"/>
      <c r="AF208" s="112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</row>
    <row r="209" ht="15.75" hidden="1" customHeight="1">
      <c r="A209" s="88" t="s">
        <v>44</v>
      </c>
      <c r="B209" s="89" t="str">
        <f t="shared" ref="B209:C209" si="507">IF(B172="","",B172)</f>
        <v/>
      </c>
      <c r="C209" s="141" t="str">
        <f t="shared" si="507"/>
        <v/>
      </c>
      <c r="D209" s="29" t="str">
        <f t="shared" ref="D209:D214" si="509">D172</f>
        <v/>
      </c>
      <c r="E209" s="91" t="str">
        <f t="shared" si="452"/>
        <v/>
      </c>
      <c r="F209" s="92"/>
      <c r="G209" s="93"/>
      <c r="H209" s="93"/>
      <c r="I209" s="94" t="str">
        <f t="shared" ref="I209:I214" si="510">IFERROR(ROUND(F209/$Y209,2),)</f>
        <v/>
      </c>
      <c r="J209" s="92"/>
      <c r="K209" s="93"/>
      <c r="L209" s="93"/>
      <c r="M209" s="94" t="str">
        <f t="shared" ref="M209:M214" si="511">IFERROR(ROUND(J209/$Y209,2),)</f>
        <v/>
      </c>
      <c r="N209" s="92"/>
      <c r="O209" s="93"/>
      <c r="P209" s="93"/>
      <c r="Q209" s="94" t="str">
        <f t="shared" ref="Q209:Q214" si="512">IFERROR(ROUND(N209/$Y209,2),)</f>
        <v/>
      </c>
      <c r="R209" s="92"/>
      <c r="S209" s="93"/>
      <c r="T209" s="93"/>
      <c r="U209" s="94" t="str">
        <f t="shared" ref="U209:U214" si="513">IFERROR(ROUND(R209/$Y209,2),)</f>
        <v/>
      </c>
      <c r="V209" s="95">
        <f t="shared" ref="V209:V214" si="514">(IF(ISNUMBER(F209),F209,1)*G209*H209+IF(ISNUMBER(J209),J209,1)*K209*L209+IF(ISNUMBER(N209),N209,1)*O209*P209+IF(ISNUMBER(R209),R209,1)*S209*T209)*IF(ISNUMBER(E209),E209,1)</f>
        <v>0</v>
      </c>
      <c r="W209" s="96">
        <f t="shared" ref="W209:W214" si="515">IFERROR((IF(ISNUMBER(F209),F209,1)*G209*H209+IF(ISNUMBER(J209),J209,1)*K209*L209+IF(ISNUMBER(N209),N209,1)*O209*P209+IF(ISNUMBER(R209),R209,1)*S209*T209)*IF(ISNUMBER(E209),E209,1)/(G209*H209+K209*L209+O209*P209+S209*T209),0)</f>
        <v>0</v>
      </c>
      <c r="X209" s="97">
        <f t="shared" ref="X209:X214" si="516">ROUND(IFERROR((W209/(Y209*IF(ISNUMBER(E209),E209,1))),0),2)</f>
        <v>0</v>
      </c>
      <c r="Y209" s="37" t="str">
        <f t="shared" ref="Y209:Y214" si="517">IF(ISNUMBER(Y172), Y172+(Y172*$Y$186),"")</f>
        <v/>
      </c>
      <c r="Z209" s="96">
        <f t="shared" ref="Z209:Z214" si="518">(IF(I209&lt;30%,0,IF(I209&lt;35%,F209*G209*H209*F!$B$33,IF(I209&lt;40%,F209*G209*H209*F!$B$38,IF(I209&lt;45%,F209*G209*H209*F!$B$43,IF(I209&lt;50%,F209*G209*H209*F!$B$48,IF(I209=50%,F209*G209*H209*F!$B$50,IF(I209=51%,F209*G209*H209*F!$B$51,IF(I209=52%,F209*G209*H209*F!$B$52,IF(I209=53%,F209*G209*H209*F!$B$53,IF(I209=54%,F209*G209*H209*F!$B$54,IF(I209=55%,F209*G209*H209*F!$B$55,IF(I209=56%,F209*G209*H209*F!$B$56,IF(I209=57%,F209*G209*H209*F!$B$57,IF(I209=58%,F209*G209*H209*F!$B$58,IF(I209=59%,F209*G209*H209*F!$B$59,IF(I209=60%,F209*G209*H209*F!$B$60,IF(I209=61%,F209*G209*H209*F!$B$61,IF(I209=62%,F209*G209*H209*F!$B$62,IF(I209=63%,F209*G209*H209*F!$B$63,IF(I209=64%,F209*G209*H209*F!$B$64,IF(I209=65%,F209*G209*H209*F!$B$65,IF(I209=66%,F209*G209*H209*F!$B$66,IF(I209=67%,F209*G209*H209*F!$B$67,IF(I209=68%,F209*G209*H209*F!$B$68,IF(I209=69%,F209*G209*H209*F!$B$69,IF(I209=70%,F209*G209*H209*F!$B$70,IF(I209=71%,F209*G209*H209*F!$B$71,IF(I209=72%,F209*G209*H209*F!$B$72,IF(I209=73%,F209*G209*H209*F!$B$73,IF(I209=74%,F209*G209*H209*F!$B$74,IF(I209=75%,F209*G209*H209*F!$B$75,IF(I209=76%,F209*G209*H209*F!$B$76,IF(I209=77%,F209*G209*H209*F!$B$77,IF(I209=78%,F209*G209*H209*F!$B$78,IF(I209=79%,F209*G209*H209*F!$B$79,IF(I209=80%,F209*G209*H209*F!$B$80,IF(I209=81%,F209*G209*H209*F!$B$81,IF(I209=82%,F209*G209*H209*F!$B$82,IF(I209=83%,F209*G209*H209*F!$B$83,IF(I209=84%,F209*G209*H209*F!$B$84,IF(I209=85%,F209*G209*H209*F!$B$85,IF(I209=86%,F209*G209*H209*F!$B$86,IF(I209=87%,F209*G209*H209*F!$B$87,IF(I209=88%,F209*G209*H209*F!$B$88,IF(I209=89%,F209*G209*H209*F!$B$89,IF(I209=90%,F209*G209*H209*F!$B$90,IF(I209=91%,F209*G209*H209*F!$B$91,IF(I209=92%,F209*G209*H209*F!$B$92,IF(I209=93%,F209*G209*H209*F!$B$93,IF(I209=94%,F209*G209*H209*F!$B$94,IF(I209=95%,F209*G209*H209*F!$B$95,IF(I209=96%,F209*G209*H209*F!$B$96,IF(I209=97%,F209*G209*H209*F!$B$97,IF(I209=98%,F209*G209*H209*F!$B$98,IF(I209=99%,F209*G209*H209*F!$B$99,IF(I209&gt;99%,F209*G209*H209*F!$B$100,))))))))))))))))))))))))))))))))))))))))))))))))))))))))+IF(M209&lt;30%,0,IF(M209&lt;35%,J209*K209*L209*F!$B$33,IF(M209&lt;40%,J209*K209*L209*F!$B$38,IF(M209&lt;45%,J209*K209*L209*F!$B$43,IF(M209&lt;50%,J209*K209*L209*F!$B$48,IF(M209=50%,J209*K209*L209*F!$B$50,IF(M209=51%,J209*K209*L209*F!$B$51,IF(M209=52%,J209*K209*L209*F!$B$52,IF(M209=53%,J209*K209*L209*F!$B$53,IF(M209=54%,J209*K209*L209*F!$B$54,IF(M209=55%,J209*K209*L209*F!$B$55,IF(M209=56%,J209*K209*L209*F!$B$56,IF(M209=57%,J209*K209*L209*F!$B$57,IF(M209=58%,J209*K209*L209*F!$B$58,IF(M209=59%,J209*K209*L209*F!$B$59,IF(M209=60%,J209*K209*L209*F!$B$60,IF(M209=61%,J209*K209*L209*F!$B$61,IF(M209=62%,J209*K209*L209*F!$B$62,IF(M209=63%,J209*K209*L209*F!$B$63,IF(M209=64%,J209*K209*L209*F!$B$64,IF(M209=65%,J209*K209*L209*F!$B$65,IF(M209=66%,J209*K209*L209*F!$B$66,IF(M209=67%,J209*K209*L209*F!$B$67,IF(M209=68%,J209*K209*L209*F!$B$68,IF(M209=69%,J209*K209*L209*F!$B$69,IF(M209=70%,J209*K209*L209*F!$B$70,IF(M209=71%,J209*K209*L209*F!$B$71,IF(M209=72%,J209*K209*L209*F!$B$72,IF(M209=73%,J209*K209*L209*F!$B$73,IF(M209=74%,J209*K209*L209*F!$B$74,IF(M209=75%,J209*K209*L209*F!$B$75,IF(M209=76%,J209*K209*L209*F!$B$76,IF(M209=77%,J209*K209*L209*F!$B$77,IF(M209=78%,J209*K209*L209*F!$B$78,IF(M209=79%,J209*K209*L209*F!$B$79,IF(M209=80%,J209*K209*L209*F!$B$80,IF(M209=81%,J209*K209*L209*F!$B$81,IF(M209=82%,J209*K209*L209*F!$B$82,IF(M209=83%,J209*K209*L209*F!$B$83,IF(M209=84%,J209*K209*L209*F!$B$84,IF(M209=85%,J209*K209*L209*F!$B$85,IF(M209=86%,J209*K209*L209*F!$B$86,IF(M209=87%,J209*K209*L209*F!$B$87,IF(M209=88%,J209*K209*L209*F!$B$88,IF(M209=89%,J209*K209*L209*F!$B$89,IF(M209=90%,J209*K209*L209*F!$B$90,IF(M209=91%,J209*K209*L209*F!$B$91,IF(M209=92%,J209*K209*L209*F!$B$92,IF(M209=93%,J209*K209*L209*F!$B$93,IF(M209=94%,J209*K209*L209*F!$B$94,IF(M209=95%,J209*K209*L209*F!$B$95,IF(M209=96%,J209*K209*L209*F!$B$96,IF(M209=97%,J209*K209*L209*F!$B$97,IF(M209=98%,J209*K209*L209*F!$B$98,IF(M209=99%,J209*K209*L209*F!$B$99,IF(M209&gt;99%,J209*K209*L209*F!$B$100,))))))))))))))))))))))))))))))))))))))))))))))))))))))))+IF(Q209&lt;30%,0,IF(Q209&lt;35%,N209*O209*P209*F!$B$33,IF(Q209&lt;40%,N209*O209*P209*F!$B$38,IF(Q209&lt;45%,N209*O209*P209*F!$B$43,IF(Q209&lt;50%,N209*O209*P209*F!$B$48,IF(Q209=50%,N209*O209*P209*F!$B$50,IF(Q209=51%,N209*O209*P209*F!$B$51,IF(Q209=52%,N209*O209*P209*F!$B$52,IF(Q209=53%,N209*O209*P209*F!$B$53,IF(Q209=54%,N209*O209*P209*F!$B$54,IF(Q209=55%,N209*O209*P209*F!$B$55,IF(Q209=56%,N209*O209*P209*F!$B$56,IF(Q209=57%,N209*O209*P209*F!$B$57,IF(Q209=58%,N209*O209*P209*F!$B$58,IF(Q209=59%,N209*O209*P209*F!$B$59,IF(Q209=60%,N209*O209*P209*F!$B$60,IF(Q209=61%,N209*O209*P209*F!$B$61,IF(Q209=62%,N209*O209*P209*F!$B$62,IF(Q209=63%,N209*O209*P209*F!$B$63,IF(Q209=64%,N209*O209*P209*F!$B$64,IF(Q209=65%,N209*O209*P209*F!$B$65,IF(Q209=66%,N209*O209*P209*F!$B$66,IF(Q209=67%,N209*O209*P209*F!$B$67,IF(Q209=68%,N209*O209*P209*F!$B$68,IF(Q209=69%,N209*O209*P209*F!$B$69,IF(Q209=70%,N209*O209*P209*F!$B$70,IF(Q209=71%,N209*O209*P209*F!$B$71,IF(Q209=72%,N209*O209*P209*F!$B$72,IF(Q209=73%,N209*O209*P209*F!$B$73,IF(Q209=74%,N209*O209*P209*F!$B$74,IF(Q209=75%,N209*O209*P209*F!$B$75,IF(Q209=76%,N209*O209*P209*F!$B$76,IF(Q209=77%,N209*O209*P209*F!$B$77,IF(Q209=78%,N209*O209*P209*F!$B$78,IF(Q209=79%,N209*O209*P209*F!$B$79,IF(Q209=80%,N209*O209*P209*F!$B$80,IF(Q209=81%,N209*O209*P209*F!$B$81,IF(Q209=82%,N209*O209*P209*F!$B$82,IF(Q209=83%,N209*O209*P209*F!$B$83,IF(Q209=84%,N209*O209*P209*F!$B$84,IF(Q209=85%,N209*O209*P209*F!$B$85,IF(Q209=86%,N209*O209*P209*F!$B$86,IF(Q209=87%,N209*O209*P209*F!$B$87,IF(Q209=88%,N209*O209*P209*F!$B$88,IF(Q209=89%,N209*O209*P209*F!$B$89,IF(Q209=90%,N209*O209*P209*F!$B$90,IF(Q209=91%,N209*O209*P209*F!$B$91,IF(Q209=92%,N209*O209*P209*F!$B$92,IF(Q209=93%,N209*O209*P209*F!$B$93,IF(Q209=94%,N209*O209*P209*F!$B$94,IF(Q209=95%,N209*O209*P209*F!$B$95,IF(Q209=96%,N209*O209*P209*F!$B$96,IF(Q209=97%,N209*O209*P209*F!$B$97,IF(Q209=98%,N209*O209*P209*F!$B$98,IF(Q209=99%,N209*O209*P209*F!$B$99,IF(Q209&gt;99%,N209*O209*P209*F!$B$100,))))))))))))))))))))))))))))))))))))))))))))))))))))))))+IF(U209&lt;30%,0,IF(U209&lt;35%,R209*S209*T209*F!$B$33,IF(U209&lt;40%,R209*S209*T209*F!$B$38,IF(U209&lt;45%,R209*S209*T209*F!$B$43,IF(U209&lt;50%,R209*S209*T209*F!$B$48,IF(U209=50%,R209*S209*T209*F!$B$50,IF(U209=51%,R209*S209*T209*F!$B$51,IF(U209=52%,R209*S209*T209*F!$B$52,IF(U209=53%,R209*S209*T209*F!$B$53,IF(U209=54%,R209*S209*T209*F!$B$54,IF(U209=55%,R209*S209*T209*F!$B$55,IF(U209=56%,R209*S209*T209*F!$B$56,IF(U209=57%,R209*S209*T209*F!$B$57,IF(U209=58%,R209*S209*T209*F!$B$58,IF(U209=59%,R209*S209*T209*F!$B$59,IF(U209=60%,R209*S209*T209*F!$B$60,IF(U209=61%,R209*S209*T209*F!$B$61,IF(U209=62%,R209*S209*T209*F!$B$62,IF(U209=63%,R209*S209*T209*F!$B$63,IF(U209=64%,R209*S209*T209*F!$B$64,IF(U209=65%,R209*S209*T209*F!$B$65,IF(U209=66%,R209*S209*T209*F!$B$66,IF(U209=67%,R209*S209*T209*F!$B$67,IF(U209=68%,R209*S209*T209*F!$B$68,IF(U209=69%,R209*S209*T209*F!$B$69,IF(U209=70%,R209*S209*T209*F!$B$70,IF(U209=71%,R209*S209*T209*F!$B$71,IF(U209=72%,R209*S209*T209*F!$B$72,IF(U209=73%,R209*S209*T209*F!$B$73,IF(U209=74%,R209*S209*T209*F!$B$74,IF(U209=75%,R209*S209*T209*F!$B$75,IF(U209=76%,R209*S209*T209*F!$B$76,IF(U209=77%,R209*S209*T209*F!$B$77,IF(U209=78%,R209*S209*T209*F!$B$78,IF(U209=79%,R209*S209*T209*F!$B$79,IF(U209=80%,R209*S209*T209*F!$B$80,IF(U209=81%,R209*S209*T209*F!$B$81,IF(U209=82%,R209*S209*T209*F!$B$82,IF(U209=83%,R209*S209*T209*F!$B$83,IF(U209=84%,R209*S209*T209*F!$B$84,IF(U209=85%,R209*S209*T209*F!$B$85,IF(U209=86%,R209*S209*T209*F!$B$86,IF(U209=87%,R209*S209*T209*F!$B$87,IF(U209=88%,R209*S209*T209*F!$B$88,IF(U209=89%,R209*S209*T209*F!$B$89,IF(U209=90%,R209*S209*T209*F!$B$90,IF(U209=91%,R209*S209*T209*F!$B$91,IF(U209=92%,R209*S209*T209*F!$B$92,IF(U209=93%,R209*S209*T209*F!$B$93,IF(U209=94%,R209*S209*T209*F!$B$94,IF(U209=95%,R209*S209*T209*F!$B$95,IF(U209=96%,R209*S209*T209*F!$B$96,IF(U209=97%,R209*S209*T209*F!$B$97,IF(U209=98%,R209*S209*T209*F!$B$98,IF(U209=99%,R209*S209*T209*F!$B$99,IF(U209&gt;99%,R209*S209*T209*F!$B$100)))))))))))))))))))))))))))))))))))))))))))))))))))))))))*IF(ISNUMBER(E209),E209,1)*IF(ISNUMBER(D209),D209,1)</f>
        <v>0</v>
      </c>
      <c r="AA209" s="93">
        <f t="shared" ref="AA209:AA214" si="519">G209*H209+K209*L209+O209*P209+S209*T209</f>
        <v>0</v>
      </c>
      <c r="AB209" s="99">
        <f t="shared" ref="AB209:AB214" si="520">(H209*(IF(I209&lt;45%,0.5,IF(I209&lt;55%,0.8,IF(I209&lt;65%,0.9,IF(I209&lt;75%,1,IF(I209&lt;85%,1.1,1.2))))))+L209*(IF(M209&lt;45%,0.5,IF(M209&lt;55%,0.8,IF(M209&lt;65%,0.9,IF(M209&lt;75%,1,IF(M209&lt;85%,1.1,1.2))))))+P209*(IF(Q209&lt;45%,0.5,IF(Q209&lt;55%,0.8,IF(Q209&lt;65%,0.9,IF(Q209&lt;75%,1,IF(Q209&lt;85%,1.1,1.2))))))+T209*(IF(U209&lt;45%,0.5,IF(U209&lt;55%,0.8,IF(U209&lt;65%,0.9,IF(U209&lt;75%,1,IF(U209&lt;85%,1.1,1.2)))))))*IF(D209&gt;=0.8,6,IF(D209&lt;=0.4,1.5,3))</f>
        <v>0</v>
      </c>
      <c r="AC209" s="9"/>
      <c r="AD209" s="9"/>
      <c r="AE209" s="9"/>
      <c r="AF209" s="112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</row>
    <row r="210" ht="15.0" hidden="1" customHeight="1">
      <c r="A210" s="142">
        <f>A203+1</f>
        <v>42371</v>
      </c>
      <c r="B210" s="101" t="str">
        <f t="shared" ref="B210:C210" si="508">IF(B173="","",B173)</f>
        <v/>
      </c>
      <c r="C210" s="143" t="str">
        <f t="shared" si="508"/>
        <v/>
      </c>
      <c r="D210" s="46" t="str">
        <f t="shared" si="509"/>
        <v/>
      </c>
      <c r="E210" s="144" t="str">
        <f t="shared" si="452"/>
        <v/>
      </c>
      <c r="F210" s="59"/>
      <c r="G210" s="60"/>
      <c r="H210" s="60"/>
      <c r="I210" s="61" t="str">
        <f t="shared" si="510"/>
        <v/>
      </c>
      <c r="J210" s="59"/>
      <c r="K210" s="60"/>
      <c r="L210" s="60"/>
      <c r="M210" s="61" t="str">
        <f t="shared" si="511"/>
        <v/>
      </c>
      <c r="N210" s="59"/>
      <c r="O210" s="60"/>
      <c r="P210" s="60"/>
      <c r="Q210" s="61" t="str">
        <f t="shared" si="512"/>
        <v/>
      </c>
      <c r="R210" s="59"/>
      <c r="S210" s="60"/>
      <c r="T210" s="60"/>
      <c r="U210" s="61" t="str">
        <f t="shared" si="513"/>
        <v/>
      </c>
      <c r="V210" s="104">
        <f t="shared" si="514"/>
        <v>0</v>
      </c>
      <c r="W210" s="64">
        <f t="shared" si="515"/>
        <v>0</v>
      </c>
      <c r="X210" s="65">
        <f t="shared" si="516"/>
        <v>0</v>
      </c>
      <c r="Y210" s="137" t="str">
        <f t="shared" si="517"/>
        <v/>
      </c>
      <c r="Z210" s="64">
        <f t="shared" si="518"/>
        <v>0</v>
      </c>
      <c r="AA210" s="60">
        <f t="shared" si="519"/>
        <v>0</v>
      </c>
      <c r="AB210" s="66">
        <f t="shared" si="520"/>
        <v>0</v>
      </c>
      <c r="AC210" s="9"/>
      <c r="AD210" s="9"/>
      <c r="AE210" s="9"/>
      <c r="AF210" s="112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</row>
    <row r="211" ht="15.75" hidden="1" customHeight="1">
      <c r="A211" s="57"/>
      <c r="B211" s="101" t="str">
        <f t="shared" ref="B211:C211" si="521">IF(B174="","",B174)</f>
        <v/>
      </c>
      <c r="C211" s="143" t="str">
        <f t="shared" si="521"/>
        <v/>
      </c>
      <c r="D211" s="46" t="str">
        <f t="shared" si="509"/>
        <v/>
      </c>
      <c r="E211" s="144" t="str">
        <f t="shared" si="452"/>
        <v/>
      </c>
      <c r="F211" s="105"/>
      <c r="G211" s="106"/>
      <c r="H211" s="106"/>
      <c r="I211" s="107" t="str">
        <f t="shared" si="510"/>
        <v/>
      </c>
      <c r="J211" s="105"/>
      <c r="K211" s="106"/>
      <c r="L211" s="106"/>
      <c r="M211" s="107" t="str">
        <f t="shared" si="511"/>
        <v/>
      </c>
      <c r="N211" s="105"/>
      <c r="O211" s="106"/>
      <c r="P211" s="106"/>
      <c r="Q211" s="107" t="str">
        <f t="shared" si="512"/>
        <v/>
      </c>
      <c r="R211" s="105"/>
      <c r="S211" s="106"/>
      <c r="T211" s="106"/>
      <c r="U211" s="107" t="str">
        <f t="shared" si="513"/>
        <v/>
      </c>
      <c r="V211" s="108">
        <f t="shared" si="514"/>
        <v>0</v>
      </c>
      <c r="W211" s="109">
        <f t="shared" si="515"/>
        <v>0</v>
      </c>
      <c r="X211" s="110">
        <f t="shared" si="516"/>
        <v>0</v>
      </c>
      <c r="Y211" s="137" t="str">
        <f t="shared" si="517"/>
        <v/>
      </c>
      <c r="Z211" s="109">
        <f t="shared" si="518"/>
        <v>0</v>
      </c>
      <c r="AA211" s="106">
        <f t="shared" si="519"/>
        <v>0</v>
      </c>
      <c r="AB211" s="111">
        <f t="shared" si="520"/>
        <v>0</v>
      </c>
      <c r="AC211" s="9"/>
      <c r="AD211" s="9"/>
      <c r="AE211" s="9"/>
      <c r="AF211" s="112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</row>
    <row r="212" ht="15.75" hidden="1" customHeight="1">
      <c r="A212" s="57"/>
      <c r="B212" s="101" t="str">
        <f t="shared" ref="B212:C212" si="522">IF(B175="","",B175)</f>
        <v/>
      </c>
      <c r="C212" s="143" t="str">
        <f t="shared" si="522"/>
        <v/>
      </c>
      <c r="D212" s="46" t="str">
        <f t="shared" si="509"/>
        <v/>
      </c>
      <c r="E212" s="144" t="str">
        <f t="shared" si="452"/>
        <v/>
      </c>
      <c r="F212" s="59"/>
      <c r="G212" s="60"/>
      <c r="H212" s="60"/>
      <c r="I212" s="61" t="str">
        <f t="shared" si="510"/>
        <v/>
      </c>
      <c r="J212" s="59"/>
      <c r="K212" s="60"/>
      <c r="L212" s="60"/>
      <c r="M212" s="61" t="str">
        <f t="shared" si="511"/>
        <v/>
      </c>
      <c r="N212" s="59"/>
      <c r="O212" s="60"/>
      <c r="P212" s="60"/>
      <c r="Q212" s="61" t="str">
        <f t="shared" si="512"/>
        <v/>
      </c>
      <c r="R212" s="59"/>
      <c r="S212" s="60"/>
      <c r="T212" s="60"/>
      <c r="U212" s="61" t="str">
        <f t="shared" si="513"/>
        <v/>
      </c>
      <c r="V212" s="104">
        <f t="shared" si="514"/>
        <v>0</v>
      </c>
      <c r="W212" s="64">
        <f t="shared" si="515"/>
        <v>0</v>
      </c>
      <c r="X212" s="65">
        <f t="shared" si="516"/>
        <v>0</v>
      </c>
      <c r="Y212" s="137" t="str">
        <f t="shared" si="517"/>
        <v/>
      </c>
      <c r="Z212" s="64">
        <f t="shared" si="518"/>
        <v>0</v>
      </c>
      <c r="AA212" s="60">
        <f t="shared" si="519"/>
        <v>0</v>
      </c>
      <c r="AB212" s="66">
        <f t="shared" si="520"/>
        <v>0</v>
      </c>
      <c r="AC212" s="9"/>
      <c r="AD212" s="9"/>
      <c r="AE212" s="9"/>
      <c r="AF212" s="112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</row>
    <row r="213" ht="15.75" hidden="1" customHeight="1">
      <c r="A213" s="57"/>
      <c r="B213" s="101" t="str">
        <f t="shared" ref="B213:C213" si="523">IF(B176="","",B176)</f>
        <v/>
      </c>
      <c r="C213" s="143" t="str">
        <f t="shared" si="523"/>
        <v/>
      </c>
      <c r="D213" s="46" t="str">
        <f t="shared" si="509"/>
        <v/>
      </c>
      <c r="E213" s="144" t="str">
        <f t="shared" si="452"/>
        <v/>
      </c>
      <c r="F213" s="105"/>
      <c r="G213" s="106"/>
      <c r="H213" s="106"/>
      <c r="I213" s="107" t="str">
        <f t="shared" si="510"/>
        <v/>
      </c>
      <c r="J213" s="105"/>
      <c r="K213" s="106"/>
      <c r="L213" s="106"/>
      <c r="M213" s="107" t="str">
        <f t="shared" si="511"/>
        <v/>
      </c>
      <c r="N213" s="105"/>
      <c r="O213" s="106"/>
      <c r="P213" s="106"/>
      <c r="Q213" s="107" t="str">
        <f t="shared" si="512"/>
        <v/>
      </c>
      <c r="R213" s="105"/>
      <c r="S213" s="106"/>
      <c r="T213" s="106"/>
      <c r="U213" s="107" t="str">
        <f t="shared" si="513"/>
        <v/>
      </c>
      <c r="V213" s="108">
        <f t="shared" si="514"/>
        <v>0</v>
      </c>
      <c r="W213" s="109">
        <f t="shared" si="515"/>
        <v>0</v>
      </c>
      <c r="X213" s="117">
        <f t="shared" si="516"/>
        <v>0</v>
      </c>
      <c r="Y213" s="137" t="str">
        <f t="shared" si="517"/>
        <v/>
      </c>
      <c r="Z213" s="109">
        <f t="shared" si="518"/>
        <v>0</v>
      </c>
      <c r="AA213" s="106">
        <f t="shared" si="519"/>
        <v>0</v>
      </c>
      <c r="AB213" s="111">
        <f t="shared" si="520"/>
        <v>0</v>
      </c>
      <c r="AC213" s="9"/>
      <c r="AD213" s="9"/>
      <c r="AE213" s="9"/>
      <c r="AF213" s="112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</row>
    <row r="214" ht="15.75" hidden="1" customHeight="1">
      <c r="A214" s="57"/>
      <c r="B214" s="101" t="str">
        <f t="shared" ref="B214:C214" si="524">IF(B177="","",B177)</f>
        <v/>
      </c>
      <c r="C214" s="143" t="str">
        <f t="shared" si="524"/>
        <v/>
      </c>
      <c r="D214" s="46" t="str">
        <f t="shared" si="509"/>
        <v/>
      </c>
      <c r="E214" s="144" t="str">
        <f t="shared" si="452"/>
        <v/>
      </c>
      <c r="F214" s="59"/>
      <c r="G214" s="60"/>
      <c r="H214" s="60"/>
      <c r="I214" s="61" t="str">
        <f t="shared" si="510"/>
        <v/>
      </c>
      <c r="J214" s="59"/>
      <c r="K214" s="60"/>
      <c r="L214" s="60"/>
      <c r="M214" s="61" t="str">
        <f t="shared" si="511"/>
        <v/>
      </c>
      <c r="N214" s="59"/>
      <c r="O214" s="60"/>
      <c r="P214" s="60"/>
      <c r="Q214" s="61" t="str">
        <f t="shared" si="512"/>
        <v/>
      </c>
      <c r="R214" s="59"/>
      <c r="S214" s="60"/>
      <c r="T214" s="60"/>
      <c r="U214" s="61" t="str">
        <f t="shared" si="513"/>
        <v/>
      </c>
      <c r="V214" s="104">
        <f t="shared" si="514"/>
        <v>0</v>
      </c>
      <c r="W214" s="64">
        <f t="shared" si="515"/>
        <v>0</v>
      </c>
      <c r="X214" s="65">
        <f t="shared" si="516"/>
        <v>0</v>
      </c>
      <c r="Y214" s="137" t="str">
        <f t="shared" si="517"/>
        <v/>
      </c>
      <c r="Z214" s="64">
        <f t="shared" si="518"/>
        <v>0</v>
      </c>
      <c r="AA214" s="60">
        <f t="shared" si="519"/>
        <v>0</v>
      </c>
      <c r="AB214" s="66">
        <f t="shared" si="520"/>
        <v>0</v>
      </c>
      <c r="AC214" s="9"/>
      <c r="AD214" s="9"/>
      <c r="AE214" s="9"/>
      <c r="AF214" s="112"/>
      <c r="AG214" s="9"/>
      <c r="AH214" s="9"/>
      <c r="AI214" s="182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</row>
    <row r="215" ht="15.75" hidden="1" customHeight="1">
      <c r="A215" s="72"/>
      <c r="B215" s="119" t="str">
        <f t="shared" ref="B215:C215" si="525">IF(B178="","",B178)</f>
        <v/>
      </c>
      <c r="C215" s="146" t="str">
        <f t="shared" si="525"/>
        <v/>
      </c>
      <c r="D215" s="75">
        <f>ROUND(IFERROR((D209*(G209*H209+K209*L209+O209*P209+S209*T209)+D210*(G210*H210+K210*L210+O210*P210+S210*T210)+D211*(G211*H211+K211*L211+O211*P211+S211*T211)+D212*(G212*H212+K212*L212+O212*P212+S212*T212)+D213*(G213*H213+K213*L213+O213*P213+S213*T213)+D214*(G214*H214+K214*L214+O214*P214+S214*T214))/((G209*H209+K209*L209+O209*P209+S209*T209)+(G210*H210+K210*L210+O210*P210+S210*T210)+(G211*H211+K211*L211+O211*P211+S211*T211)+(G212*H212+K212*L212+O212*P212+S212*T212)+(G213*H213+K213*L213+O213*P213+S213*T213)+(G214*H214+K214*L214+O214*P214+S214*T214)),0),2)</f>
        <v>0</v>
      </c>
      <c r="E215" s="147" t="str">
        <f t="shared" si="452"/>
        <v/>
      </c>
      <c r="F215" s="122"/>
      <c r="G215" s="123"/>
      <c r="H215" s="123"/>
      <c r="I215" s="124"/>
      <c r="J215" s="122"/>
      <c r="K215" s="123"/>
      <c r="L215" s="123"/>
      <c r="M215" s="124"/>
      <c r="N215" s="122"/>
      <c r="O215" s="123"/>
      <c r="P215" s="123"/>
      <c r="Q215" s="124"/>
      <c r="R215" s="122"/>
      <c r="S215" s="123"/>
      <c r="T215" s="123"/>
      <c r="U215" s="124"/>
      <c r="V215" s="125">
        <f>SUM(V209:V214)</f>
        <v>0</v>
      </c>
      <c r="W215" s="82">
        <f>IFERROR(V215/AA215,0)</f>
        <v>0</v>
      </c>
      <c r="X215" s="83">
        <f>ROUND(IFERROR(((I209*G209*H209+M209*K209*L209+Q209*O209*P209+U209*S209*T209)+(I210*G210*H210+M210*K210*L210+Q210*O210*P210+U210*S210*T210)+(I211*G211*H211+M211*K211*L211+Q211*O211*P211+U211*S211*T211)+(I212*G212*H212+M212*K212*L212+Q212*O212*P212+U212*S212*T212)+(I213*G213*H213+M213*K213*L213+Q213*O213*P213+U213*S213*T213)+(I214*G214*H214+M214*K214*L214+Q214*O214*P214+U214*S214*T214))/((G209*H209+K209*L209+O209*P209+S209*T209)+(G210*H210+K210*L210+O210*P210+S210*T210)+(G211*H211+K211*L211+O211*P211+S211*T211)+(G212*H212+K212*L212+O212*P212+S212*T212)+(G213*H213+K213*L213+O213*P213+S213*T213)+(G214*H214+K214*L214+O214*P214+S214*T214)),0),3)</f>
        <v>0</v>
      </c>
      <c r="Y215" s="84"/>
      <c r="Z215" s="82">
        <f t="shared" ref="Z215:AA215" si="526">SUM(Z209:Z214)</f>
        <v>0</v>
      </c>
      <c r="AA215" s="85">
        <f t="shared" si="526"/>
        <v>0</v>
      </c>
      <c r="AB215" s="86">
        <f>IF(SUM(AB209:AB214)=0,TIME(,0,),TIME(,SUM(AB209:AB214)+30,))</f>
        <v>0</v>
      </c>
      <c r="AC215" s="9"/>
      <c r="AD215" s="9"/>
      <c r="AE215" s="9"/>
      <c r="AF215" s="112"/>
      <c r="AG215" s="9"/>
      <c r="AH215" s="9"/>
      <c r="AI215" s="182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</row>
    <row r="216" ht="15.75" hidden="1" customHeight="1">
      <c r="A216" s="126" t="s">
        <v>36</v>
      </c>
      <c r="B216" s="27" t="str">
        <f t="shared" ref="B216:C216" si="527">IF(B179="","",B179)</f>
        <v/>
      </c>
      <c r="C216" s="148" t="str">
        <f t="shared" si="527"/>
        <v/>
      </c>
      <c r="D216" s="29" t="str">
        <f t="shared" ref="D216:D221" si="529">D179</f>
        <v/>
      </c>
      <c r="E216" s="30" t="str">
        <f t="shared" si="452"/>
        <v/>
      </c>
      <c r="F216" s="31"/>
      <c r="G216" s="32"/>
      <c r="H216" s="32"/>
      <c r="I216" s="33" t="str">
        <f t="shared" ref="I216:I221" si="530">IFERROR(ROUND(F216/$Y216,2),)</f>
        <v/>
      </c>
      <c r="J216" s="31"/>
      <c r="K216" s="32"/>
      <c r="L216" s="32"/>
      <c r="M216" s="33" t="str">
        <f t="shared" ref="M216:M221" si="531">IFERROR(ROUND(J216/$Y216,2),)</f>
        <v/>
      </c>
      <c r="N216" s="31"/>
      <c r="O216" s="32"/>
      <c r="P216" s="32"/>
      <c r="Q216" s="33" t="str">
        <f t="shared" ref="Q216:Q221" si="532">IFERROR(ROUND(N216/$Y216,2),)</f>
        <v/>
      </c>
      <c r="R216" s="31"/>
      <c r="S216" s="32"/>
      <c r="T216" s="32"/>
      <c r="U216" s="33" t="str">
        <f t="shared" ref="U216:U221" si="533">IFERROR(ROUND(R216/$Y216,2),)</f>
        <v/>
      </c>
      <c r="V216" s="130">
        <f t="shared" ref="V216:V221" si="534">(IF(ISNUMBER(F216),F216,1)*G216*H216+IF(ISNUMBER(J216),J216,1)*K216*L216+IF(ISNUMBER(N216),N216,1)*O216*P216+IF(ISNUMBER(R216),R216,1)*S216*T216)*IF(ISNUMBER(E216),E216,1)</f>
        <v>0</v>
      </c>
      <c r="W216" s="36">
        <f t="shared" ref="W216:W221" si="535">IFERROR((IF(ISNUMBER(F216),F216,1)*G216*H216+IF(ISNUMBER(J216),J216,1)*K216*L216+IF(ISNUMBER(N216),N216,1)*O216*P216+IF(ISNUMBER(R216),R216,1)*S216*T216)*IF(ISNUMBER(E216),E216,1)/(G216*H216+K216*L216+O216*P216+S216*T216),0)</f>
        <v>0</v>
      </c>
      <c r="X216" s="34">
        <f t="shared" ref="X216:X221" si="536">ROUND(IFERROR((W216/(Y216*IF(ISNUMBER(E216),E216,1))),0),2)</f>
        <v>0</v>
      </c>
      <c r="Y216" s="37" t="str">
        <f t="shared" ref="Y216:Y221" si="537">IF(ISNUMBER(Y179), Y179+(Y179*$Y$186),"")</f>
        <v/>
      </c>
      <c r="Z216" s="36">
        <f t="shared" ref="Z216:Z221" si="538">(IF(I216&lt;30%,0,IF(I216&lt;35%,F216*G216*H216*F!$B$33,IF(I216&lt;40%,F216*G216*H216*F!$B$38,IF(I216&lt;45%,F216*G216*H216*F!$B$43,IF(I216&lt;50%,F216*G216*H216*F!$B$48,IF(I216=50%,F216*G216*H216*F!$B$50,IF(I216=51%,F216*G216*H216*F!$B$51,IF(I216=52%,F216*G216*H216*F!$B$52,IF(I216=53%,F216*G216*H216*F!$B$53,IF(I216=54%,F216*G216*H216*F!$B$54,IF(I216=55%,F216*G216*H216*F!$B$55,IF(I216=56%,F216*G216*H216*F!$B$56,IF(I216=57%,F216*G216*H216*F!$B$57,IF(I216=58%,F216*G216*H216*F!$B$58,IF(I216=59%,F216*G216*H216*F!$B$59,IF(I216=60%,F216*G216*H216*F!$B$60,IF(I216=61%,F216*G216*H216*F!$B$61,IF(I216=62%,F216*G216*H216*F!$B$62,IF(I216=63%,F216*G216*H216*F!$B$63,IF(I216=64%,F216*G216*H216*F!$B$64,IF(I216=65%,F216*G216*H216*F!$B$65,IF(I216=66%,F216*G216*H216*F!$B$66,IF(I216=67%,F216*G216*H216*F!$B$67,IF(I216=68%,F216*G216*H216*F!$B$68,IF(I216=69%,F216*G216*H216*F!$B$69,IF(I216=70%,F216*G216*H216*F!$B$70,IF(I216=71%,F216*G216*H216*F!$B$71,IF(I216=72%,F216*G216*H216*F!$B$72,IF(I216=73%,F216*G216*H216*F!$B$73,IF(I216=74%,F216*G216*H216*F!$B$74,IF(I216=75%,F216*G216*H216*F!$B$75,IF(I216=76%,F216*G216*H216*F!$B$76,IF(I216=77%,F216*G216*H216*F!$B$77,IF(I216=78%,F216*G216*H216*F!$B$78,IF(I216=79%,F216*G216*H216*F!$B$79,IF(I216=80%,F216*G216*H216*F!$B$80,IF(I216=81%,F216*G216*H216*F!$B$81,IF(I216=82%,F216*G216*H216*F!$B$82,IF(I216=83%,F216*G216*H216*F!$B$83,IF(I216=84%,F216*G216*H216*F!$B$84,IF(I216=85%,F216*G216*H216*F!$B$85,IF(I216=86%,F216*G216*H216*F!$B$86,IF(I216=87%,F216*G216*H216*F!$B$87,IF(I216=88%,F216*G216*H216*F!$B$88,IF(I216=89%,F216*G216*H216*F!$B$89,IF(I216=90%,F216*G216*H216*F!$B$90,IF(I216=91%,F216*G216*H216*F!$B$91,IF(I216=92%,F216*G216*H216*F!$B$92,IF(I216=93%,F216*G216*H216*F!$B$93,IF(I216=94%,F216*G216*H216*F!$B$94,IF(I216=95%,F216*G216*H216*F!$B$95,IF(I216=96%,F216*G216*H216*F!$B$96,IF(I216=97%,F216*G216*H216*F!$B$97,IF(I216=98%,F216*G216*H216*F!$B$98,IF(I216=99%,F216*G216*H216*F!$B$99,IF(I216&gt;99%,F216*G216*H216*F!$B$100,))))))))))))))))))))))))))))))))))))))))))))))))))))))))+IF(M216&lt;30%,0,IF(M216&lt;35%,J216*K216*L216*F!$B$33,IF(M216&lt;40%,J216*K216*L216*F!$B$38,IF(M216&lt;45%,J216*K216*L216*F!$B$43,IF(M216&lt;50%,J216*K216*L216*F!$B$48,IF(M216=50%,J216*K216*L216*F!$B$50,IF(M216=51%,J216*K216*L216*F!$B$51,IF(M216=52%,J216*K216*L216*F!$B$52,IF(M216=53%,J216*K216*L216*F!$B$53,IF(M216=54%,J216*K216*L216*F!$B$54,IF(M216=55%,J216*K216*L216*F!$B$55,IF(M216=56%,J216*K216*L216*F!$B$56,IF(M216=57%,J216*K216*L216*F!$B$57,IF(M216=58%,J216*K216*L216*F!$B$58,IF(M216=59%,J216*K216*L216*F!$B$59,IF(M216=60%,J216*K216*L216*F!$B$60,IF(M216=61%,J216*K216*L216*F!$B$61,IF(M216=62%,J216*K216*L216*F!$B$62,IF(M216=63%,J216*K216*L216*F!$B$63,IF(M216=64%,J216*K216*L216*F!$B$64,IF(M216=65%,J216*K216*L216*F!$B$65,IF(M216=66%,J216*K216*L216*F!$B$66,IF(M216=67%,J216*K216*L216*F!$B$67,IF(M216=68%,J216*K216*L216*F!$B$68,IF(M216=69%,J216*K216*L216*F!$B$69,IF(M216=70%,J216*K216*L216*F!$B$70,IF(M216=71%,J216*K216*L216*F!$B$71,IF(M216=72%,J216*K216*L216*F!$B$72,IF(M216=73%,J216*K216*L216*F!$B$73,IF(M216=74%,J216*K216*L216*F!$B$74,IF(M216=75%,J216*K216*L216*F!$B$75,IF(M216=76%,J216*K216*L216*F!$B$76,IF(M216=77%,J216*K216*L216*F!$B$77,IF(M216=78%,J216*K216*L216*F!$B$78,IF(M216=79%,J216*K216*L216*F!$B$79,IF(M216=80%,J216*K216*L216*F!$B$80,IF(M216=81%,J216*K216*L216*F!$B$81,IF(M216=82%,J216*K216*L216*F!$B$82,IF(M216=83%,J216*K216*L216*F!$B$83,IF(M216=84%,J216*K216*L216*F!$B$84,IF(M216=85%,J216*K216*L216*F!$B$85,IF(M216=86%,J216*K216*L216*F!$B$86,IF(M216=87%,J216*K216*L216*F!$B$87,IF(M216=88%,J216*K216*L216*F!$B$88,IF(M216=89%,J216*K216*L216*F!$B$89,IF(M216=90%,J216*K216*L216*F!$B$90,IF(M216=91%,J216*K216*L216*F!$B$91,IF(M216=92%,J216*K216*L216*F!$B$92,IF(M216=93%,J216*K216*L216*F!$B$93,IF(M216=94%,J216*K216*L216*F!$B$94,IF(M216=95%,J216*K216*L216*F!$B$95,IF(M216=96%,J216*K216*L216*F!$B$96,IF(M216=97%,J216*K216*L216*F!$B$97,IF(M216=98%,J216*K216*L216*F!$B$98,IF(M216=99%,J216*K216*L216*F!$B$99,IF(M216&gt;99%,J216*K216*L216*F!$B$100,))))))))))))))))))))))))))))))))))))))))))))))))))))))))+IF(Q216&lt;30%,0,IF(Q216&lt;35%,N216*O216*P216*F!$B$33,IF(Q216&lt;40%,N216*O216*P216*F!$B$38,IF(Q216&lt;45%,N216*O216*P216*F!$B$43,IF(Q216&lt;50%,N216*O216*P216*F!$B$48,IF(Q216=50%,N216*O216*P216*F!$B$50,IF(Q216=51%,N216*O216*P216*F!$B$51,IF(Q216=52%,N216*O216*P216*F!$B$52,IF(Q216=53%,N216*O216*P216*F!$B$53,IF(Q216=54%,N216*O216*P216*F!$B$54,IF(Q216=55%,N216*O216*P216*F!$B$55,IF(Q216=56%,N216*O216*P216*F!$B$56,IF(Q216=57%,N216*O216*P216*F!$B$57,IF(Q216=58%,N216*O216*P216*F!$B$58,IF(Q216=59%,N216*O216*P216*F!$B$59,IF(Q216=60%,N216*O216*P216*F!$B$60,IF(Q216=61%,N216*O216*P216*F!$B$61,IF(Q216=62%,N216*O216*P216*F!$B$62,IF(Q216=63%,N216*O216*P216*F!$B$63,IF(Q216=64%,N216*O216*P216*F!$B$64,IF(Q216=65%,N216*O216*P216*F!$B$65,IF(Q216=66%,N216*O216*P216*F!$B$66,IF(Q216=67%,N216*O216*P216*F!$B$67,IF(Q216=68%,N216*O216*P216*F!$B$68,IF(Q216=69%,N216*O216*P216*F!$B$69,IF(Q216=70%,N216*O216*P216*F!$B$70,IF(Q216=71%,N216*O216*P216*F!$B$71,IF(Q216=72%,N216*O216*P216*F!$B$72,IF(Q216=73%,N216*O216*P216*F!$B$73,IF(Q216=74%,N216*O216*P216*F!$B$74,IF(Q216=75%,N216*O216*P216*F!$B$75,IF(Q216=76%,N216*O216*P216*F!$B$76,IF(Q216=77%,N216*O216*P216*F!$B$77,IF(Q216=78%,N216*O216*P216*F!$B$78,IF(Q216=79%,N216*O216*P216*F!$B$79,IF(Q216=80%,N216*O216*P216*F!$B$80,IF(Q216=81%,N216*O216*P216*F!$B$81,IF(Q216=82%,N216*O216*P216*F!$B$82,IF(Q216=83%,N216*O216*P216*F!$B$83,IF(Q216=84%,N216*O216*P216*F!$B$84,IF(Q216=85%,N216*O216*P216*F!$B$85,IF(Q216=86%,N216*O216*P216*F!$B$86,IF(Q216=87%,N216*O216*P216*F!$B$87,IF(Q216=88%,N216*O216*P216*F!$B$88,IF(Q216=89%,N216*O216*P216*F!$B$89,IF(Q216=90%,N216*O216*P216*F!$B$90,IF(Q216=91%,N216*O216*P216*F!$B$91,IF(Q216=92%,N216*O216*P216*F!$B$92,IF(Q216=93%,N216*O216*P216*F!$B$93,IF(Q216=94%,N216*O216*P216*F!$B$94,IF(Q216=95%,N216*O216*P216*F!$B$95,IF(Q216=96%,N216*O216*P216*F!$B$96,IF(Q216=97%,N216*O216*P216*F!$B$97,IF(Q216=98%,N216*O216*P216*F!$B$98,IF(Q216=99%,N216*O216*P216*F!$B$99,IF(Q216&gt;99%,N216*O216*P216*F!$B$100,))))))))))))))))))))))))))))))))))))))))))))))))))))))))+IF(U216&lt;30%,0,IF(U216&lt;35%,R216*S216*T216*F!$B$33,IF(U216&lt;40%,R216*S216*T216*F!$B$38,IF(U216&lt;45%,R216*S216*T216*F!$B$43,IF(U216&lt;50%,R216*S216*T216*F!$B$48,IF(U216=50%,R216*S216*T216*F!$B$50,IF(U216=51%,R216*S216*T216*F!$B$51,IF(U216=52%,R216*S216*T216*F!$B$52,IF(U216=53%,R216*S216*T216*F!$B$53,IF(U216=54%,R216*S216*T216*F!$B$54,IF(U216=55%,R216*S216*T216*F!$B$55,IF(U216=56%,R216*S216*T216*F!$B$56,IF(U216=57%,R216*S216*T216*F!$B$57,IF(U216=58%,R216*S216*T216*F!$B$58,IF(U216=59%,R216*S216*T216*F!$B$59,IF(U216=60%,R216*S216*T216*F!$B$60,IF(U216=61%,R216*S216*T216*F!$B$61,IF(U216=62%,R216*S216*T216*F!$B$62,IF(U216=63%,R216*S216*T216*F!$B$63,IF(U216=64%,R216*S216*T216*F!$B$64,IF(U216=65%,R216*S216*T216*F!$B$65,IF(U216=66%,R216*S216*T216*F!$B$66,IF(U216=67%,R216*S216*T216*F!$B$67,IF(U216=68%,R216*S216*T216*F!$B$68,IF(U216=69%,R216*S216*T216*F!$B$69,IF(U216=70%,R216*S216*T216*F!$B$70,IF(U216=71%,R216*S216*T216*F!$B$71,IF(U216=72%,R216*S216*T216*F!$B$72,IF(U216=73%,R216*S216*T216*F!$B$73,IF(U216=74%,R216*S216*T216*F!$B$74,IF(U216=75%,R216*S216*T216*F!$B$75,IF(U216=76%,R216*S216*T216*F!$B$76,IF(U216=77%,R216*S216*T216*F!$B$77,IF(U216=78%,R216*S216*T216*F!$B$78,IF(U216=79%,R216*S216*T216*F!$B$79,IF(U216=80%,R216*S216*T216*F!$B$80,IF(U216=81%,R216*S216*T216*F!$B$81,IF(U216=82%,R216*S216*T216*F!$B$82,IF(U216=83%,R216*S216*T216*F!$B$83,IF(U216=84%,R216*S216*T216*F!$B$84,IF(U216=85%,R216*S216*T216*F!$B$85,IF(U216=86%,R216*S216*T216*F!$B$86,IF(U216=87%,R216*S216*T216*F!$B$87,IF(U216=88%,R216*S216*T216*F!$B$88,IF(U216=89%,R216*S216*T216*F!$B$89,IF(U216=90%,R216*S216*T216*F!$B$90,IF(U216=91%,R216*S216*T216*F!$B$91,IF(U216=92%,R216*S216*T216*F!$B$92,IF(U216=93%,R216*S216*T216*F!$B$93,IF(U216=94%,R216*S216*T216*F!$B$94,IF(U216=95%,R216*S216*T216*F!$B$95,IF(U216=96%,R216*S216*T216*F!$B$96,IF(U216=97%,R216*S216*T216*F!$B$97,IF(U216=98%,R216*S216*T216*F!$B$98,IF(U216=99%,R216*S216*T216*F!$B$99,IF(U216&gt;99%,R216*S216*T216*F!$B$100)))))))))))))))))))))))))))))))))))))))))))))))))))))))))*IF(ISNUMBER(E216),E216,1)*IF(ISNUMBER(D216),D216,1)</f>
        <v>0</v>
      </c>
      <c r="AA216" s="32">
        <f t="shared" ref="AA216:AA221" si="539">G216*H216+K216*L216+O216*P216+S216*T216</f>
        <v>0</v>
      </c>
      <c r="AB216" s="38">
        <f t="shared" ref="AB216:AB221" si="540">(H216*(IF(I216&lt;45%,0.5,IF(I216&lt;55%,0.8,IF(I216&lt;65%,0.9,IF(I216&lt;75%,1,IF(I216&lt;85%,1.1,1.2))))))+L216*(IF(M216&lt;45%,0.5,IF(M216&lt;55%,0.8,IF(M216&lt;65%,0.9,IF(M216&lt;75%,1,IF(M216&lt;85%,1.1,1.2))))))+P216*(IF(Q216&lt;45%,0.5,IF(Q216&lt;55%,0.8,IF(Q216&lt;65%,0.9,IF(Q216&lt;75%,1,IF(Q216&lt;85%,1.1,1.2))))))+T216*(IF(U216&lt;45%,0.5,IF(U216&lt;55%,0.8,IF(U216&lt;65%,0.9,IF(U216&lt;75%,1,IF(U216&lt;85%,1.1,1.2)))))))*IF(D216&gt;=0.8,6,IF(D216&lt;=0.4,1.5,3))</f>
        <v>0</v>
      </c>
      <c r="AC216" s="9"/>
      <c r="AD216" s="9"/>
      <c r="AE216" s="9"/>
      <c r="AF216" s="112"/>
      <c r="AG216" s="9"/>
      <c r="AH216" s="9"/>
      <c r="AI216" s="182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</row>
    <row r="217" ht="15.0" hidden="1" customHeight="1">
      <c r="A217" s="142">
        <f>A210+1</f>
        <v>42372</v>
      </c>
      <c r="B217" s="44" t="str">
        <f t="shared" ref="B217:C217" si="528">IF(B180="","",B180)</f>
        <v/>
      </c>
      <c r="C217" s="149" t="str">
        <f t="shared" si="528"/>
        <v/>
      </c>
      <c r="D217" s="46" t="str">
        <f t="shared" si="529"/>
        <v/>
      </c>
      <c r="E217" s="47" t="str">
        <f t="shared" si="452"/>
        <v/>
      </c>
      <c r="F217" s="48"/>
      <c r="G217" s="49"/>
      <c r="H217" s="49"/>
      <c r="I217" s="50" t="str">
        <f t="shared" si="530"/>
        <v/>
      </c>
      <c r="J217" s="48"/>
      <c r="K217" s="49"/>
      <c r="L217" s="49"/>
      <c r="M217" s="50" t="str">
        <f t="shared" si="531"/>
        <v/>
      </c>
      <c r="N217" s="48"/>
      <c r="O217" s="49"/>
      <c r="P217" s="49"/>
      <c r="Q217" s="50" t="str">
        <f t="shared" si="532"/>
        <v/>
      </c>
      <c r="R217" s="48"/>
      <c r="S217" s="49"/>
      <c r="T217" s="49"/>
      <c r="U217" s="50" t="str">
        <f t="shared" si="533"/>
        <v/>
      </c>
      <c r="V217" s="134">
        <f t="shared" si="534"/>
        <v>0</v>
      </c>
      <c r="W217" s="53">
        <f t="shared" si="535"/>
        <v>0</v>
      </c>
      <c r="X217" s="54">
        <f t="shared" si="536"/>
        <v>0</v>
      </c>
      <c r="Y217" s="137" t="str">
        <f t="shared" si="537"/>
        <v/>
      </c>
      <c r="Z217" s="53">
        <f t="shared" si="538"/>
        <v>0</v>
      </c>
      <c r="AA217" s="49">
        <f t="shared" si="539"/>
        <v>0</v>
      </c>
      <c r="AB217" s="56">
        <f t="shared" si="540"/>
        <v>0</v>
      </c>
      <c r="AC217" s="9"/>
      <c r="AD217" s="9"/>
      <c r="AE217" s="9"/>
      <c r="AF217" s="112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</row>
    <row r="218" ht="15.75" hidden="1" customHeight="1">
      <c r="A218" s="57"/>
      <c r="B218" s="44" t="str">
        <f t="shared" ref="B218:C218" si="541">IF(B181="","",B181)</f>
        <v/>
      </c>
      <c r="C218" s="149" t="str">
        <f t="shared" si="541"/>
        <v/>
      </c>
      <c r="D218" s="46" t="str">
        <f t="shared" si="529"/>
        <v/>
      </c>
      <c r="E218" s="47" t="str">
        <f t="shared" si="452"/>
        <v/>
      </c>
      <c r="F218" s="59"/>
      <c r="G218" s="60"/>
      <c r="H218" s="60"/>
      <c r="I218" s="61" t="str">
        <f t="shared" si="530"/>
        <v/>
      </c>
      <c r="J218" s="59"/>
      <c r="K218" s="60"/>
      <c r="L218" s="60"/>
      <c r="M218" s="61" t="str">
        <f t="shared" si="531"/>
        <v/>
      </c>
      <c r="N218" s="59"/>
      <c r="O218" s="60"/>
      <c r="P218" s="60"/>
      <c r="Q218" s="61" t="str">
        <f t="shared" si="532"/>
        <v/>
      </c>
      <c r="R218" s="59"/>
      <c r="S218" s="60"/>
      <c r="T218" s="60"/>
      <c r="U218" s="61" t="str">
        <f t="shared" si="533"/>
        <v/>
      </c>
      <c r="V218" s="104">
        <f t="shared" si="534"/>
        <v>0</v>
      </c>
      <c r="W218" s="64">
        <f t="shared" si="535"/>
        <v>0</v>
      </c>
      <c r="X218" s="65">
        <f t="shared" si="536"/>
        <v>0</v>
      </c>
      <c r="Y218" s="137" t="str">
        <f t="shared" si="537"/>
        <v/>
      </c>
      <c r="Z218" s="64">
        <f t="shared" si="538"/>
        <v>0</v>
      </c>
      <c r="AA218" s="60">
        <f t="shared" si="539"/>
        <v>0</v>
      </c>
      <c r="AB218" s="66">
        <f t="shared" si="540"/>
        <v>0</v>
      </c>
      <c r="AC218" s="9"/>
      <c r="AD218" s="9"/>
      <c r="AE218" s="9"/>
      <c r="AF218" s="112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</row>
    <row r="219" ht="15.75" hidden="1" customHeight="1">
      <c r="A219" s="57"/>
      <c r="B219" s="44" t="str">
        <f t="shared" ref="B219:C219" si="542">IF(B182="","",B182)</f>
        <v/>
      </c>
      <c r="C219" s="149" t="str">
        <f t="shared" si="542"/>
        <v/>
      </c>
      <c r="D219" s="46" t="str">
        <f t="shared" si="529"/>
        <v/>
      </c>
      <c r="E219" s="47" t="str">
        <f t="shared" si="452"/>
        <v/>
      </c>
      <c r="F219" s="48"/>
      <c r="G219" s="49"/>
      <c r="H219" s="49"/>
      <c r="I219" s="50" t="str">
        <f t="shared" si="530"/>
        <v/>
      </c>
      <c r="J219" s="48"/>
      <c r="K219" s="49"/>
      <c r="L219" s="49"/>
      <c r="M219" s="50" t="str">
        <f t="shared" si="531"/>
        <v/>
      </c>
      <c r="N219" s="48"/>
      <c r="O219" s="49"/>
      <c r="P219" s="49"/>
      <c r="Q219" s="50" t="str">
        <f t="shared" si="532"/>
        <v/>
      </c>
      <c r="R219" s="48"/>
      <c r="S219" s="49"/>
      <c r="T219" s="49"/>
      <c r="U219" s="50" t="str">
        <f t="shared" si="533"/>
        <v/>
      </c>
      <c r="V219" s="134">
        <f t="shared" si="534"/>
        <v>0</v>
      </c>
      <c r="W219" s="53">
        <f t="shared" si="535"/>
        <v>0</v>
      </c>
      <c r="X219" s="54">
        <f t="shared" si="536"/>
        <v>0</v>
      </c>
      <c r="Y219" s="137" t="str">
        <f t="shared" si="537"/>
        <v/>
      </c>
      <c r="Z219" s="53">
        <f t="shared" si="538"/>
        <v>0</v>
      </c>
      <c r="AA219" s="49">
        <f t="shared" si="539"/>
        <v>0</v>
      </c>
      <c r="AB219" s="56">
        <f t="shared" si="540"/>
        <v>0</v>
      </c>
      <c r="AC219" s="9"/>
      <c r="AD219" s="9"/>
      <c r="AE219" s="9"/>
      <c r="AF219" s="112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</row>
    <row r="220" ht="15.75" hidden="1" customHeight="1">
      <c r="A220" s="57"/>
      <c r="B220" s="44" t="str">
        <f t="shared" ref="B220:C220" si="543">IF(B183="","",B183)</f>
        <v/>
      </c>
      <c r="C220" s="149" t="str">
        <f t="shared" si="543"/>
        <v/>
      </c>
      <c r="D220" s="46" t="str">
        <f t="shared" si="529"/>
        <v/>
      </c>
      <c r="E220" s="47" t="str">
        <f t="shared" si="452"/>
        <v/>
      </c>
      <c r="F220" s="59"/>
      <c r="G220" s="60"/>
      <c r="H220" s="60"/>
      <c r="I220" s="61" t="str">
        <f t="shared" si="530"/>
        <v/>
      </c>
      <c r="J220" s="59"/>
      <c r="K220" s="60"/>
      <c r="L220" s="60"/>
      <c r="M220" s="61" t="str">
        <f t="shared" si="531"/>
        <v/>
      </c>
      <c r="N220" s="59"/>
      <c r="O220" s="60"/>
      <c r="P220" s="60"/>
      <c r="Q220" s="61" t="str">
        <f t="shared" si="532"/>
        <v/>
      </c>
      <c r="R220" s="59"/>
      <c r="S220" s="60"/>
      <c r="T220" s="60"/>
      <c r="U220" s="61" t="str">
        <f t="shared" si="533"/>
        <v/>
      </c>
      <c r="V220" s="104">
        <f t="shared" si="534"/>
        <v>0</v>
      </c>
      <c r="W220" s="64">
        <f t="shared" si="535"/>
        <v>0</v>
      </c>
      <c r="X220" s="62">
        <f t="shared" si="536"/>
        <v>0</v>
      </c>
      <c r="Y220" s="137" t="str">
        <f t="shared" si="537"/>
        <v/>
      </c>
      <c r="Z220" s="64">
        <f t="shared" si="538"/>
        <v>0</v>
      </c>
      <c r="AA220" s="60">
        <f t="shared" si="539"/>
        <v>0</v>
      </c>
      <c r="AB220" s="66">
        <f t="shared" si="540"/>
        <v>0</v>
      </c>
      <c r="AC220" s="9"/>
      <c r="AD220" s="9"/>
      <c r="AE220" s="9"/>
      <c r="AF220" s="112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</row>
    <row r="221" ht="15.75" hidden="1" customHeight="1">
      <c r="A221" s="57"/>
      <c r="B221" s="44" t="str">
        <f t="shared" ref="B221:C221" si="544">IF(B184="","",B184)</f>
        <v/>
      </c>
      <c r="C221" s="149" t="str">
        <f t="shared" si="544"/>
        <v/>
      </c>
      <c r="D221" s="46" t="str">
        <f t="shared" si="529"/>
        <v/>
      </c>
      <c r="E221" s="47" t="str">
        <f t="shared" si="452"/>
        <v/>
      </c>
      <c r="F221" s="48"/>
      <c r="G221" s="49"/>
      <c r="H221" s="49"/>
      <c r="I221" s="50" t="str">
        <f t="shared" si="530"/>
        <v/>
      </c>
      <c r="J221" s="48"/>
      <c r="K221" s="49"/>
      <c r="L221" s="49"/>
      <c r="M221" s="50" t="str">
        <f t="shared" si="531"/>
        <v/>
      </c>
      <c r="N221" s="48"/>
      <c r="O221" s="49"/>
      <c r="P221" s="49"/>
      <c r="Q221" s="50" t="str">
        <f t="shared" si="532"/>
        <v/>
      </c>
      <c r="R221" s="48"/>
      <c r="S221" s="49"/>
      <c r="T221" s="49"/>
      <c r="U221" s="50" t="str">
        <f t="shared" si="533"/>
        <v/>
      </c>
      <c r="V221" s="134">
        <f t="shared" si="534"/>
        <v>0</v>
      </c>
      <c r="W221" s="53">
        <f t="shared" si="535"/>
        <v>0</v>
      </c>
      <c r="X221" s="54">
        <f t="shared" si="536"/>
        <v>0</v>
      </c>
      <c r="Y221" s="137" t="str">
        <f t="shared" si="537"/>
        <v/>
      </c>
      <c r="Z221" s="53">
        <f t="shared" si="538"/>
        <v>0</v>
      </c>
      <c r="AA221" s="49">
        <f t="shared" si="539"/>
        <v>0</v>
      </c>
      <c r="AB221" s="56">
        <f t="shared" si="540"/>
        <v>0</v>
      </c>
      <c r="AC221" s="9"/>
      <c r="AD221" s="9"/>
      <c r="AE221" s="9"/>
      <c r="AF221" s="112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</row>
    <row r="222" ht="15.75" hidden="1" customHeight="1">
      <c r="A222" s="72"/>
      <c r="B222" s="73" t="str">
        <f t="shared" ref="B222:C222" si="545">IF(B185="","",B185)</f>
        <v/>
      </c>
      <c r="C222" s="150" t="str">
        <f t="shared" si="545"/>
        <v/>
      </c>
      <c r="D222" s="75">
        <f>ROUND(IFERROR((D216*(G216*H216+K216*L216+O216*P216+S216*T216)+D217*(G217*H217+K217*L217+O217*P217+S217*T217)+D218*(G218*H218+K218*L218+O218*P218+S218*T218)+D219*(G219*H219+K219*L219+O219*P219+S219*T219)+D220*(G220*H220+K220*L220+O220*P220+S220*T220)+D221*(G221*H221+K221*L221+O221*P221+S221*T221))/((G216*H216+K216*L216+O216*P216+S216*T216)+(G217*H217+K217*L217+O217*P217+S217*T217)+(G218*H218+K218*L218+O218*P218+S218*T218)+(G219*H219+K219*L219+O219*P219+S219*T219)+(G220*H220+K220*L220+O220*P220+S220*T220)+(G221*H221+K221*L221+O221*P221+S221*T221)),0),2)</f>
        <v>0</v>
      </c>
      <c r="E222" s="76" t="str">
        <f t="shared" si="452"/>
        <v/>
      </c>
      <c r="F222" s="77"/>
      <c r="G222" s="78"/>
      <c r="H222" s="78"/>
      <c r="I222" s="79"/>
      <c r="J222" s="77"/>
      <c r="K222" s="78"/>
      <c r="L222" s="78"/>
      <c r="M222" s="79"/>
      <c r="N222" s="77"/>
      <c r="O222" s="78"/>
      <c r="P222" s="78"/>
      <c r="Q222" s="79"/>
      <c r="R222" s="77"/>
      <c r="S222" s="78"/>
      <c r="T222" s="78"/>
      <c r="U222" s="79"/>
      <c r="V222" s="125">
        <f>SUM(V216:V221)</f>
        <v>0</v>
      </c>
      <c r="W222" s="82">
        <f t="shared" ref="W222:W223" si="547">IFERROR(V222/AA222,0)</f>
        <v>0</v>
      </c>
      <c r="X222" s="83">
        <f>ROUND(IFERROR(((I216*G216*H216+M216*K216*L216+Q216*O216*P216+U216*S216*T216)+(I217*G217*H217+M217*K217*L217+Q217*O217*P217+U217*S217*T217)+(I218*G218*H218+M218*K218*L218+Q218*O218*P218+U218*S218*T218)+(I219*G219*H219+M219*K219*L219+Q219*O219*P219+U219*S219*T219)+(I220*G220*H220+M220*K220*L220+Q220*O220*P220+U220*S220*T220)+(I221*G221*H221+M221*K221*L221+Q221*O221*P221+U221*S221*T221))/((G216*H216+K216*L216+O216*P216+S216*T216)+(G217*H217+K217*L217+O217*P217+S217*T217)+(G218*H218+K218*L218+O218*P218+S218*T218)+(G219*H219+K219*L219+O219*P219+S219*T219)+(G220*H220+K220*L220+O220*P220+S220*T220)+(G221*H221+K221*L221+O221*P221+S221*T221)),0),3)</f>
        <v>0</v>
      </c>
      <c r="Y222" s="84"/>
      <c r="Z222" s="82">
        <f t="shared" ref="Z222:AA222" si="546">SUM(Z216:Z221)</f>
        <v>0</v>
      </c>
      <c r="AA222" s="85">
        <f t="shared" si="546"/>
        <v>0</v>
      </c>
      <c r="AB222" s="86">
        <f>IF(SUM(AB216:AB221)=0,TIME(,0,),TIME(,SUM(AB216:AB221)+30,))</f>
        <v>0</v>
      </c>
      <c r="AC222" s="9"/>
      <c r="AD222" s="9"/>
      <c r="AE222" s="9"/>
      <c r="AF222" s="112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</row>
    <row r="223" ht="15.75" customHeight="1">
      <c r="A223" s="1" t="s">
        <v>52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3"/>
      <c r="V223" s="4">
        <f>V231+V238+V245+V252+V259</f>
        <v>16161.8</v>
      </c>
      <c r="W223" s="5">
        <f t="shared" si="547"/>
        <v>20.82706186</v>
      </c>
      <c r="X223" s="6"/>
      <c r="Y223" s="155">
        <v>0.01</v>
      </c>
      <c r="Z223" s="4" t="str">
        <f t="shared" ref="Z223:AB223" si="548">Z231+Z238+Z245+Z252+Z259</f>
        <v>#REF!</v>
      </c>
      <c r="AA223" s="4">
        <f t="shared" si="548"/>
        <v>776</v>
      </c>
      <c r="AB223" s="8">
        <f t="shared" si="548"/>
        <v>0.2215277778</v>
      </c>
      <c r="AC223" s="9"/>
      <c r="AD223" s="9"/>
      <c r="AE223" s="9"/>
      <c r="AF223" s="112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</row>
    <row r="224" ht="15.75" customHeight="1">
      <c r="A224" s="15" t="s">
        <v>1</v>
      </c>
      <c r="B224" s="16" t="s">
        <v>2</v>
      </c>
      <c r="C224" s="17" t="s">
        <v>3</v>
      </c>
      <c r="D224" s="18" t="s">
        <v>4</v>
      </c>
      <c r="E224" s="18" t="s">
        <v>5</v>
      </c>
      <c r="F224" s="16" t="s">
        <v>6</v>
      </c>
      <c r="G224" s="16" t="s">
        <v>7</v>
      </c>
      <c r="H224" s="16" t="s">
        <v>8</v>
      </c>
      <c r="I224" s="16" t="s">
        <v>9</v>
      </c>
      <c r="J224" s="16" t="s">
        <v>6</v>
      </c>
      <c r="K224" s="16" t="s">
        <v>7</v>
      </c>
      <c r="L224" s="16" t="s">
        <v>8</v>
      </c>
      <c r="M224" s="16" t="s">
        <v>9</v>
      </c>
      <c r="N224" s="16" t="s">
        <v>6</v>
      </c>
      <c r="O224" s="16" t="s">
        <v>7</v>
      </c>
      <c r="P224" s="16" t="s">
        <v>8</v>
      </c>
      <c r="Q224" s="16" t="s">
        <v>9</v>
      </c>
      <c r="R224" s="16" t="s">
        <v>6</v>
      </c>
      <c r="S224" s="16" t="s">
        <v>7</v>
      </c>
      <c r="T224" s="16" t="s">
        <v>8</v>
      </c>
      <c r="U224" s="16" t="s">
        <v>9</v>
      </c>
      <c r="V224" s="16" t="s">
        <v>10</v>
      </c>
      <c r="W224" s="18" t="s">
        <v>11</v>
      </c>
      <c r="X224" s="18" t="s">
        <v>12</v>
      </c>
      <c r="Y224" s="19" t="s">
        <v>13</v>
      </c>
      <c r="Z224" s="20" t="s">
        <v>14</v>
      </c>
      <c r="AA224" s="16" t="s">
        <v>15</v>
      </c>
      <c r="AB224" s="21" t="s">
        <v>16</v>
      </c>
      <c r="AC224" s="9"/>
      <c r="AD224" s="9"/>
      <c r="AE224" s="9"/>
      <c r="AF224" s="112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</row>
    <row r="225" ht="15.75" customHeight="1">
      <c r="A225" s="26" t="s">
        <v>17</v>
      </c>
      <c r="B225" s="27" t="str">
        <f t="shared" ref="B225:C225" si="549">IF(B188="","",B188)</f>
        <v>Легкая</v>
      </c>
      <c r="C225" s="148" t="str">
        <f t="shared" si="549"/>
        <v>Ягодичный мост со штангой</v>
      </c>
      <c r="D225" s="29">
        <f t="shared" ref="D225:D230" si="551">D188</f>
        <v>1</v>
      </c>
      <c r="E225" s="30" t="str">
        <f t="shared" ref="E225:E259" si="552">IF(E188="","",E188)</f>
        <v/>
      </c>
      <c r="F225" s="31">
        <f t="shared" ref="F225:F230" si="553">IF(I225&lt;&gt;0,(IFERROR(IF($Y225&gt;50,MROUND($Y225*I225,2.5),IF($Y225&lt;15,MROUND($Y225*I225,0.1),MROUND($Y225*I225,1))),)),"")</f>
        <v>42.5</v>
      </c>
      <c r="G225" s="32">
        <v>10.0</v>
      </c>
      <c r="H225" s="32">
        <v>4.0</v>
      </c>
      <c r="I225" s="33">
        <v>0.45</v>
      </c>
      <c r="J225" s="31" t="str">
        <f t="shared" ref="J225:J230" si="554">IF(M225&lt;&gt;0,(IFERROR(IF($Y225&gt;50,MROUND($Y225*M225,2.5),IF($Y225&lt;15,MROUND($Y225*M225,0.1),MROUND($Y225*M225,1))),)),"")</f>
        <v/>
      </c>
      <c r="K225" s="32"/>
      <c r="L225" s="32"/>
      <c r="M225" s="33">
        <v>0.0</v>
      </c>
      <c r="N225" s="31" t="str">
        <f t="shared" ref="N225:N230" si="555">IF(Q225&lt;&gt;0,(IFERROR(IF($Y225&gt;50,MROUND($Y225*Q225,2.5),IF($Y225&lt;15,MROUND($Y225*Q225,0.1),MROUND($Y225*Q225,1))),)),"")</f>
        <v/>
      </c>
      <c r="O225" s="32"/>
      <c r="P225" s="32"/>
      <c r="Q225" s="33">
        <v>0.0</v>
      </c>
      <c r="R225" s="31" t="str">
        <f t="shared" ref="R225:R230" si="556">IF(U225&lt;&gt;0,(IFERROR(IF($Y225&gt;50,MROUND($Y225*U225,2.5),IF($Y225&lt;15,MROUND($Y225*U225,0.1),MROUND($Y225*U225,1))),)),"")</f>
        <v/>
      </c>
      <c r="S225" s="32"/>
      <c r="T225" s="32"/>
      <c r="U225" s="34">
        <v>0.0</v>
      </c>
      <c r="V225" s="35">
        <f t="shared" ref="V225:V230" si="557">(IF(ISNUMBER(F225),F225,1)*G225*H225+IF(ISNUMBER(J225),J225,1)*K225*L225+IF(ISNUMBER(N225),N225,1)*O225*P225+IF(ISNUMBER(R225),R225,1)*S225*T225)*IF(ISNUMBER(E225),E225,1)</f>
        <v>1700</v>
      </c>
      <c r="W225" s="36">
        <f t="shared" ref="W225:W230" si="558">IFERROR((IF(ISNUMBER(F225),F225,1)*G225*H225+IF(ISNUMBER(J225),J225,1)*K225*L225+IF(ISNUMBER(N225),N225,1)*O225*P225+IF(ISNUMBER(R225),R225,1)*S225*T225)*IF(ISNUMBER(E225),E225,1)/(G225*H225+K225*L225+O225*P225+S225*T225),0)</f>
        <v>42.5</v>
      </c>
      <c r="X225" s="34">
        <f t="shared" ref="X225:X230" si="559">ROUND(IFERROR((W225/(Y225*IF(ISNUMBER(E225),E225,1))),0),2)</f>
        <v>0.44</v>
      </c>
      <c r="Y225" s="37">
        <f t="shared" ref="Y225:Y230" si="560">IF(ISNUMBER(Y188), Y188+(Y188*$Y$223),"")</f>
        <v>95.53681355</v>
      </c>
      <c r="Z225" s="36" t="str">
        <f t="shared" ref="Z225:Z230" si="561">(IF(I225&lt;30%,0,IF(I225&lt;35%,F225*G225*H225*F!$B$33,IF(I225&lt;40%,F225*G225*H225*F!$B$38,IF(I225&lt;45%,F225*G225*H225*F!$B$43,IF(I225&lt;50%,F225*G225*H225*F!$B$48,IF(I225=50%,F225*G225*H225*F!$B$50,IF(I225=51%,F225*G225*H225*F!$B$51,IF(I225=52%,F225*G225*H225*F!$B$52,IF(I225=53%,F225*G225*H225*F!$B$53,IF(I225=54%,F225*G225*H225*F!$B$54,IF(I225=55%,F225*G225*H225*F!$B$55,IF(I225=56%,F225*G225*H225*F!$B$56,IF(I225=57%,F225*G225*H225*F!$B$57,IF(I225=58%,F225*G225*H225*F!$B$58,IF(I225=59%,F225*G225*H225*F!$B$59,IF(I225=60%,F225*G225*H225*F!$B$60,IF(I225=61%,F225*G225*H225*F!$B$61,IF(I225=62%,F225*G225*H225*F!$B$62,IF(I225=63%,F225*G225*H225*F!$B$63,IF(I225=64%,F225*G225*H225*F!$B$64,IF(I225=65%,F225*G225*H225*F!$B$65,IF(I225=66%,F225*G225*H225*F!$B$66,IF(I225=67%,F225*G225*H225*F!$B$67,IF(I225=68%,F225*G225*H225*F!$B$68,IF(I225=69%,F225*G225*H225*F!$B$69,IF(I225=70%,F225*G225*H225*F!$B$70,IF(I225=71%,F225*G225*H225*F!$B$71,IF(I225=72%,F225*G225*H225*F!$B$72,IF(I225=73%,F225*G225*H225*F!$B$73,IF(I225=74%,F225*G225*H225*F!$B$74,IF(I225=75%,F225*G225*H225*F!$B$75,IF(I225=76%,F225*G225*H225*F!$B$76,IF(I225=77%,F225*G225*H225*F!$B$77,IF(I225=78%,F225*G225*H225*F!$B$78,IF(I225=79%,F225*G225*H225*F!$B$79,IF(I225=80%,F225*G225*H225*F!$B$80,IF(I225=81%,F225*G225*H225*F!$B$81,IF(I225=82%,F225*G225*H225*F!$B$82,IF(I225=83%,F225*G225*H225*F!$B$83,IF(I225=84%,F225*G225*H225*F!$B$84,IF(I225=85%,F225*G225*H225*F!$B$85,IF(I225=86%,F225*G225*H225*F!$B$86,IF(I225=87%,F225*G225*H225*F!$B$87,IF(I225=88%,F225*G225*H225*F!$B$88,IF(I225=89%,F225*G225*H225*F!$B$89,IF(I225=90%,F225*G225*H225*F!$B$90,IF(I225=91%,F225*G225*H225*F!$B$91,IF(I225=92%,F225*G225*H225*F!$B$92,IF(I225=93%,F225*G225*H225*F!$B$93,IF(I225=94%,F225*G225*H225*F!$B$94,IF(I225=95%,F225*G225*H225*F!$B$95,IF(I225=96%,F225*G225*H225*F!$B$96,IF(I225=97%,F225*G225*H225*F!$B$97,IF(I225=98%,F225*G225*H225*F!$B$98,IF(I225=99%,F225*G225*H225*F!$B$99,IF(I225&gt;99%,F225*G225*H225*F!$B$100,))))))))))))))))))))))))))))))))))))))))))))))))))))))))+IF(M225&lt;30%,0,IF(M225&lt;35%,J225*K225*L225*F!$B$33,IF(M225&lt;40%,J225*K225*L225*F!$B$38,IF(M225&lt;45%,J225*K225*L225*F!$B$43,IF(M225&lt;50%,J225*K225*L225*F!$B$48,IF(M225=50%,J225*K225*L225*F!$B$50,IF(M225=51%,J225*K225*L225*F!$B$51,IF(M225=52%,J225*K225*L225*F!$B$52,IF(M225=53%,J225*K225*L225*F!$B$53,IF(M225=54%,J225*K225*L225*F!$B$54,IF(M225=55%,J225*K225*L225*F!$B$55,IF(M225=56%,J225*K225*L225*F!$B$56,IF(M225=57%,J225*K225*L225*F!$B$57,IF(M225=58%,J225*K225*L225*F!$B$58,IF(M225=59%,J225*K225*L225*F!$B$59,IF(M225=60%,J225*K225*L225*F!$B$60,IF(M225=61%,J225*K225*L225*F!$B$61,IF(M225=62%,J225*K225*L225*F!$B$62,IF(M225=63%,J225*K225*L225*F!$B$63,IF(M225=64%,J225*K225*L225*F!$B$64,IF(M225=65%,J225*K225*L225*F!$B$65,IF(M225=66%,J225*K225*L225*F!$B$66,IF(M225=67%,J225*K225*L225*F!$B$67,IF(M225=68%,J225*K225*L225*F!$B$68,IF(M225=69%,J225*K225*L225*F!$B$69,IF(M225=70%,J225*K225*L225*F!$B$70,IF(M225=71%,J225*K225*L225*F!$B$71,IF(M225=72%,J225*K225*L225*F!$B$72,IF(M225=73%,J225*K225*L225*F!$B$73,IF(M225=74%,J225*K225*L225*F!$B$74,IF(M225=75%,J225*K225*L225*F!$B$75,IF(M225=76%,J225*K225*L225*F!$B$76,IF(M225=77%,J225*K225*L225*F!$B$77,IF(M225=78%,J225*K225*L225*F!$B$78,IF(M225=79%,J225*K225*L225*F!$B$79,IF(M225=80%,J225*K225*L225*F!$B$80,IF(M225=81%,J225*K225*L225*F!$B$81,IF(M225=82%,J225*K225*L225*F!$B$82,IF(M225=83%,J225*K225*L225*F!$B$83,IF(M225=84%,J225*K225*L225*F!$B$84,IF(M225=85%,J225*K225*L225*F!$B$85,IF(M225=86%,J225*K225*L225*F!$B$86,IF(M225=87%,J225*K225*L225*F!$B$87,IF(M225=88%,J225*K225*L225*F!$B$88,IF(M225=89%,J225*K225*L225*F!$B$89,IF(M225=90%,J225*K225*L225*F!$B$90,IF(M225=91%,J225*K225*L225*F!$B$91,IF(M225=92%,J225*K225*L225*F!$B$92,IF(M225=93%,J225*K225*L225*F!$B$93,IF(M225=94%,J225*K225*L225*F!$B$94,IF(M225=95%,J225*K225*L225*F!$B$95,IF(M225=96%,J225*K225*L225*F!$B$96,IF(M225=97%,J225*K225*L225*F!$B$97,IF(M225=98%,J225*K225*L225*F!$B$98,IF(M225=99%,J225*K225*L225*F!$B$99,IF(M225&gt;99%,J225*K225*L225*F!$B$100,))))))))))))))))))))))))))))))))))))))))))))))))))))))))+IF(Q225&lt;30%,0,IF(Q225&lt;35%,N225*O225*P225*F!$B$33,IF(Q225&lt;40%,N225*O225*P225*F!$B$38,IF(Q225&lt;45%,N225*O225*P225*F!$B$43,IF(Q225&lt;50%,N225*O225*P225*F!$B$48,IF(Q225=50%,N225*O225*P225*F!$B$50,IF(Q225=51%,N225*O225*P225*F!$B$51,IF(Q225=52%,N225*O225*P225*F!$B$52,IF(Q225=53%,N225*O225*P225*F!$B$53,IF(Q225=54%,N225*O225*P225*F!$B$54,IF(Q225=55%,N225*O225*P225*F!$B$55,IF(Q225=56%,N225*O225*P225*F!$B$56,IF(Q225=57%,N225*O225*P225*F!$B$57,IF(Q225=58%,N225*O225*P225*F!$B$58,IF(Q225=59%,N225*O225*P225*F!$B$59,IF(Q225=60%,N225*O225*P225*F!$B$60,IF(Q225=61%,N225*O225*P225*F!$B$61,IF(Q225=62%,N225*O225*P225*F!$B$62,IF(Q225=63%,N225*O225*P225*F!$B$63,IF(Q225=64%,N225*O225*P225*F!$B$64,IF(Q225=65%,N225*O225*P225*F!$B$65,IF(Q225=66%,N225*O225*P225*F!$B$66,IF(Q225=67%,N225*O225*P225*F!$B$67,IF(Q225=68%,N225*O225*P225*F!$B$68,IF(Q225=69%,N225*O225*P225*F!$B$69,IF(Q225=70%,N225*O225*P225*F!$B$70,IF(Q225=71%,N225*O225*P225*F!$B$71,IF(Q225=72%,N225*O225*P225*F!$B$72,IF(Q225=73%,N225*O225*P225*F!$B$73,IF(Q225=74%,N225*O225*P225*F!$B$74,IF(Q225=75%,N225*O225*P225*F!$B$75,IF(Q225=76%,N225*O225*P225*F!$B$76,IF(Q225=77%,N225*O225*P225*F!$B$77,IF(Q225=78%,N225*O225*P225*F!$B$78,IF(Q225=79%,N225*O225*P225*F!$B$79,IF(Q225=80%,N225*O225*P225*F!$B$80,IF(Q225=81%,N225*O225*P225*F!$B$81,IF(Q225=82%,N225*O225*P225*F!$B$82,IF(Q225=83%,N225*O225*P225*F!$B$83,IF(Q225=84%,N225*O225*P225*F!$B$84,IF(Q225=85%,N225*O225*P225*F!$B$85,IF(Q225=86%,N225*O225*P225*F!$B$86,IF(Q225=87%,N225*O225*P225*F!$B$87,IF(Q225=88%,N225*O225*P225*F!$B$88,IF(Q225=89%,N225*O225*P225*F!$B$89,IF(Q225=90%,N225*O225*P225*F!$B$90,IF(Q225=91%,N225*O225*P225*F!$B$91,IF(Q225=92%,N225*O225*P225*F!$B$92,IF(Q225=93%,N225*O225*P225*F!$B$93,IF(Q225=94%,N225*O225*P225*F!$B$94,IF(Q225=95%,N225*O225*P225*F!$B$95,IF(Q225=96%,N225*O225*P225*F!$B$96,IF(Q225=97%,N225*O225*P225*F!$B$97,IF(Q225=98%,N225*O225*P225*F!$B$98,IF(Q225=99%,N225*O225*P225*F!$B$99,IF(Q225&gt;99%,N225*O225*P225*F!$B$100,))))))))))))))))))))))))))))))))))))))))))))))))))))))))+IF(U225&lt;30%,0,IF(U225&lt;35%,R225*S225*T225*F!$B$33,IF(U225&lt;40%,R225*S225*T225*F!$B$38,IF(U225&lt;45%,R225*S225*T225*F!$B$43,IF(U225&lt;50%,R225*S225*T225*F!$B$48,IF(U225=50%,R225*S225*T225*F!$B$50,IF(U225=51%,R225*S225*T225*F!$B$51,IF(U225=52%,R225*S225*T225*F!$B$52,IF(U225=53%,R225*S225*T225*F!$B$53,IF(U225=54%,R225*S225*T225*F!$B$54,IF(U225=55%,R225*S225*T225*F!$B$55,IF(U225=56%,R225*S225*T225*F!$B$56,IF(U225=57%,R225*S225*T225*F!$B$57,IF(U225=58%,R225*S225*T225*F!$B$58,IF(U225=59%,R225*S225*T225*F!$B$59,IF(U225=60%,R225*S225*T225*F!$B$60,IF(U225=61%,R225*S225*T225*F!$B$61,IF(U225=62%,R225*S225*T225*F!$B$62,IF(U225=63%,R225*S225*T225*F!$B$63,IF(U225=64%,R225*S225*T225*F!$B$64,IF(U225=65%,R225*S225*T225*F!$B$65,IF(U225=66%,R225*S225*T225*F!$B$66,IF(U225=67%,R225*S225*T225*F!$B$67,IF(U225=68%,R225*S225*T225*F!$B$68,IF(U225=69%,R225*S225*T225*F!$B$69,IF(U225=70%,R225*S225*T225*F!$B$70,IF(U225=71%,R225*S225*T225*F!$B$71,IF(U225=72%,R225*S225*T225*F!$B$72,IF(U225=73%,R225*S225*T225*F!$B$73,IF(U225=74%,R225*S225*T225*F!$B$74,IF(U225=75%,R225*S225*T225*F!$B$75,IF(U225=76%,R225*S225*T225*F!$B$76,IF(U225=77%,R225*S225*T225*F!$B$77,IF(U225=78%,R225*S225*T225*F!$B$78,IF(U225=79%,R225*S225*T225*F!$B$79,IF(U225=80%,R225*S225*T225*F!$B$80,IF(U225=81%,R225*S225*T225*F!$B$81,IF(U225=82%,R225*S225*T225*F!$B$82,IF(U225=83%,R225*S225*T225*F!$B$83,IF(U225=84%,R225*S225*T225*F!$B$84,IF(U225=85%,R225*S225*T225*F!$B$85,IF(U225=86%,R225*S225*T225*F!$B$86,IF(U225=87%,R225*S225*T225*F!$B$87,IF(U225=88%,R225*S225*T225*F!$B$88,IF(U225=89%,R225*S225*T225*F!$B$89,IF(U225=90%,R225*S225*T225*F!$B$90,IF(U225=91%,R225*S225*T225*F!$B$91,IF(U225=92%,R225*S225*T225*F!$B$92,IF(U225=93%,R225*S225*T225*F!$B$93,IF(U225=94%,R225*S225*T225*F!$B$94,IF(U225=95%,R225*S225*T225*F!$B$95,IF(U225=96%,R225*S225*T225*F!$B$96,IF(U225=97%,R225*S225*T225*F!$B$97,IF(U225=98%,R225*S225*T225*F!$B$98,IF(U225=99%,R225*S225*T225*F!$B$99,IF(U225&gt;99%,R225*S225*T225*F!$B$100)))))))))))))))))))))))))))))))))))))))))))))))))))))))))*IF(ISNUMBER(E225),E225,1)*IF(ISNUMBER(D225),D225,1)</f>
        <v>#REF!</v>
      </c>
      <c r="AA225" s="32">
        <f t="shared" ref="AA225:AA230" si="562">G225*H225+K225*L225+O225*P225+S225*T225</f>
        <v>40</v>
      </c>
      <c r="AB225" s="38">
        <f t="shared" ref="AB225:AB230" si="563">(H225*(IF(I225&lt;45%,0.5,IF(I225&lt;55%,0.8,IF(I225&lt;65%,0.9,IF(I225&lt;75%,1,IF(I225&lt;85%,1.1,1.2))))))+L225*(IF(M225&lt;45%,0.5,IF(M225&lt;55%,0.8,IF(M225&lt;65%,0.9,IF(M225&lt;75%,1,IF(M225&lt;85%,1.1,1.2))))))+P225*(IF(Q225&lt;45%,0.5,IF(Q225&lt;55%,0.8,IF(Q225&lt;65%,0.9,IF(Q225&lt;75%,1,IF(Q225&lt;85%,1.1,1.2))))))+T225*(IF(U225&lt;45%,0.5,IF(U225&lt;55%,0.8,IF(U225&lt;65%,0.9,IF(U225&lt;75%,1,IF(U225&lt;85%,1.1,1.2)))))))*IF(D225&gt;=0.8,6,IF(D225&lt;=0.4,1.5,3))</f>
        <v>19.2</v>
      </c>
      <c r="AC225" s="9"/>
      <c r="AD225" s="9"/>
      <c r="AE225" s="9"/>
      <c r="AF225" s="112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</row>
    <row r="226" ht="15.0" customHeight="1">
      <c r="A226" s="43">
        <f>A189+7</f>
        <v>42373</v>
      </c>
      <c r="B226" s="44" t="str">
        <f t="shared" ref="B226:C226" si="550">IF(B189="","",B189)</f>
        <v>Средняя</v>
      </c>
      <c r="C226" s="149" t="str">
        <f t="shared" si="550"/>
        <v>Болгарские выпады</v>
      </c>
      <c r="D226" s="46">
        <f t="shared" si="551"/>
        <v>0.3</v>
      </c>
      <c r="E226" s="47" t="str">
        <f t="shared" si="552"/>
        <v/>
      </c>
      <c r="F226" s="48">
        <f t="shared" si="553"/>
        <v>18</v>
      </c>
      <c r="G226" s="49">
        <v>10.0</v>
      </c>
      <c r="H226" s="49">
        <v>4.0</v>
      </c>
      <c r="I226" s="50">
        <v>0.55</v>
      </c>
      <c r="J226" s="48" t="str">
        <f t="shared" si="554"/>
        <v/>
      </c>
      <c r="K226" s="49"/>
      <c r="L226" s="49"/>
      <c r="M226" s="50">
        <v>0.0</v>
      </c>
      <c r="N226" s="48" t="str">
        <f t="shared" si="555"/>
        <v/>
      </c>
      <c r="O226" s="49"/>
      <c r="P226" s="49"/>
      <c r="Q226" s="50">
        <v>0.0</v>
      </c>
      <c r="R226" s="48" t="str">
        <f t="shared" si="556"/>
        <v/>
      </c>
      <c r="S226" s="49"/>
      <c r="T226" s="49"/>
      <c r="U226" s="51">
        <v>0.0</v>
      </c>
      <c r="V226" s="52">
        <f t="shared" si="557"/>
        <v>720</v>
      </c>
      <c r="W226" s="53">
        <f t="shared" si="558"/>
        <v>18</v>
      </c>
      <c r="X226" s="54">
        <f t="shared" si="559"/>
        <v>0.57</v>
      </c>
      <c r="Y226" s="137">
        <f t="shared" si="560"/>
        <v>31.84560452</v>
      </c>
      <c r="Z226" s="53" t="str">
        <f t="shared" si="561"/>
        <v>#REF!</v>
      </c>
      <c r="AA226" s="49">
        <f t="shared" si="562"/>
        <v>40</v>
      </c>
      <c r="AB226" s="56">
        <f t="shared" si="563"/>
        <v>5.4</v>
      </c>
      <c r="AC226" s="9"/>
      <c r="AD226" s="9"/>
      <c r="AE226" s="9"/>
      <c r="AF226" s="112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</row>
    <row r="227" ht="15.75" customHeight="1">
      <c r="A227" s="57"/>
      <c r="B227" s="44" t="str">
        <f t="shared" ref="B227:C227" si="564">IF(B190="","",B190)</f>
        <v>Средняя</v>
      </c>
      <c r="C227" s="149" t="str">
        <f t="shared" si="564"/>
        <v>Разведение ног в тренажёре</v>
      </c>
      <c r="D227" s="46">
        <f t="shared" si="551"/>
        <v>0.3</v>
      </c>
      <c r="E227" s="47">
        <f t="shared" si="552"/>
        <v>5</v>
      </c>
      <c r="F227" s="59">
        <f t="shared" si="553"/>
        <v>4.8</v>
      </c>
      <c r="G227" s="60">
        <v>10.0</v>
      </c>
      <c r="H227" s="60">
        <v>4.0</v>
      </c>
      <c r="I227" s="61">
        <v>0.45</v>
      </c>
      <c r="J227" s="59" t="str">
        <f t="shared" si="554"/>
        <v/>
      </c>
      <c r="K227" s="60"/>
      <c r="L227" s="60"/>
      <c r="M227" s="61">
        <v>0.0</v>
      </c>
      <c r="N227" s="59" t="str">
        <f t="shared" si="555"/>
        <v/>
      </c>
      <c r="O227" s="60"/>
      <c r="P227" s="60"/>
      <c r="Q227" s="61">
        <v>0.0</v>
      </c>
      <c r="R227" s="59" t="str">
        <f t="shared" si="556"/>
        <v/>
      </c>
      <c r="S227" s="60"/>
      <c r="T227" s="60"/>
      <c r="U227" s="62">
        <v>0.0</v>
      </c>
      <c r="V227" s="63">
        <f t="shared" si="557"/>
        <v>960</v>
      </c>
      <c r="W227" s="64">
        <f t="shared" si="558"/>
        <v>24</v>
      </c>
      <c r="X227" s="65">
        <f t="shared" si="559"/>
        <v>0.45</v>
      </c>
      <c r="Y227" s="137">
        <f t="shared" si="560"/>
        <v>10.61520151</v>
      </c>
      <c r="Z227" s="64" t="str">
        <f t="shared" si="561"/>
        <v>#REF!</v>
      </c>
      <c r="AA227" s="60">
        <f t="shared" si="562"/>
        <v>40</v>
      </c>
      <c r="AB227" s="66">
        <f t="shared" si="563"/>
        <v>4.8</v>
      </c>
      <c r="AC227" s="9"/>
      <c r="AD227" s="9"/>
      <c r="AE227" s="9"/>
      <c r="AF227" s="112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</row>
    <row r="228" ht="15.75" customHeight="1">
      <c r="A228" s="57"/>
      <c r="B228" s="44" t="s">
        <v>23</v>
      </c>
      <c r="C228" s="149" t="str">
        <f t="shared" ref="C228:C229" si="565">IF(C191="","",C191)</f>
        <v>Присед</v>
      </c>
      <c r="D228" s="46">
        <f t="shared" si="551"/>
        <v>1.2</v>
      </c>
      <c r="E228" s="47" t="str">
        <f t="shared" si="552"/>
        <v/>
      </c>
      <c r="F228" s="48">
        <f t="shared" si="553"/>
        <v>25</v>
      </c>
      <c r="G228" s="49">
        <v>12.0</v>
      </c>
      <c r="H228" s="49">
        <v>1.0</v>
      </c>
      <c r="I228" s="50">
        <v>0.45</v>
      </c>
      <c r="J228" s="67">
        <f t="shared" si="554"/>
        <v>27.5</v>
      </c>
      <c r="K228" s="49">
        <v>10.0</v>
      </c>
      <c r="L228" s="49">
        <v>1.0</v>
      </c>
      <c r="M228" s="50">
        <v>0.54</v>
      </c>
      <c r="N228" s="48">
        <f t="shared" si="555"/>
        <v>35</v>
      </c>
      <c r="O228" s="49">
        <v>8.0</v>
      </c>
      <c r="P228" s="49">
        <v>4.0</v>
      </c>
      <c r="Q228" s="50">
        <v>0.67</v>
      </c>
      <c r="R228" s="48" t="str">
        <f t="shared" si="556"/>
        <v/>
      </c>
      <c r="S228" s="49"/>
      <c r="T228" s="49"/>
      <c r="U228" s="51">
        <v>0.0</v>
      </c>
      <c r="V228" s="52">
        <f t="shared" si="557"/>
        <v>1695</v>
      </c>
      <c r="W228" s="53">
        <f t="shared" si="558"/>
        <v>31.38888889</v>
      </c>
      <c r="X228" s="54">
        <f t="shared" si="559"/>
        <v>0.59</v>
      </c>
      <c r="Y228" s="137">
        <f t="shared" si="560"/>
        <v>53.07600753</v>
      </c>
      <c r="Z228" s="53" t="str">
        <f t="shared" si="561"/>
        <v>#REF!</v>
      </c>
      <c r="AA228" s="49">
        <f t="shared" si="562"/>
        <v>54</v>
      </c>
      <c r="AB228" s="56">
        <f t="shared" si="563"/>
        <v>33.6</v>
      </c>
      <c r="AC228" s="9"/>
      <c r="AD228" s="9"/>
      <c r="AE228" s="9"/>
      <c r="AF228" s="112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</row>
    <row r="229" ht="15.75" customHeight="1">
      <c r="A229" s="57"/>
      <c r="B229" s="44" t="s">
        <v>20</v>
      </c>
      <c r="C229" s="149" t="str">
        <f t="shared" si="565"/>
        <v>Жим гантелей вверх</v>
      </c>
      <c r="D229" s="46">
        <f t="shared" si="551"/>
        <v>1.2</v>
      </c>
      <c r="E229" s="47">
        <f t="shared" si="552"/>
        <v>2</v>
      </c>
      <c r="F229" s="59">
        <f t="shared" si="553"/>
        <v>3.3</v>
      </c>
      <c r="G229" s="60">
        <v>12.0</v>
      </c>
      <c r="H229" s="60">
        <v>1.0</v>
      </c>
      <c r="I229" s="61">
        <v>0.45</v>
      </c>
      <c r="J229" s="59">
        <f t="shared" si="554"/>
        <v>4.1</v>
      </c>
      <c r="K229" s="60">
        <v>10.0</v>
      </c>
      <c r="L229" s="60">
        <v>4.0</v>
      </c>
      <c r="M229" s="61">
        <v>0.55</v>
      </c>
      <c r="N229" s="59" t="str">
        <f t="shared" si="555"/>
        <v/>
      </c>
      <c r="O229" s="60"/>
      <c r="P229" s="60"/>
      <c r="Q229" s="61">
        <v>0.0</v>
      </c>
      <c r="R229" s="59" t="str">
        <f t="shared" si="556"/>
        <v/>
      </c>
      <c r="S229" s="60"/>
      <c r="T229" s="60"/>
      <c r="U229" s="62">
        <v>0.0</v>
      </c>
      <c r="V229" s="63">
        <f t="shared" si="557"/>
        <v>407.2</v>
      </c>
      <c r="W229" s="64">
        <f t="shared" si="558"/>
        <v>7.830769231</v>
      </c>
      <c r="X229" s="62">
        <f t="shared" si="559"/>
        <v>0.53</v>
      </c>
      <c r="Y229" s="137">
        <f t="shared" si="560"/>
        <v>7.430641054</v>
      </c>
      <c r="Z229" s="64" t="str">
        <f t="shared" si="561"/>
        <v>#REF!</v>
      </c>
      <c r="AA229" s="60">
        <f t="shared" si="562"/>
        <v>52</v>
      </c>
      <c r="AB229" s="66">
        <f t="shared" si="563"/>
        <v>26.4</v>
      </c>
      <c r="AC229" s="9"/>
      <c r="AD229" s="9"/>
      <c r="AE229" s="9"/>
      <c r="AF229" s="112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</row>
    <row r="230" ht="15.75" customHeight="1">
      <c r="A230" s="57"/>
      <c r="B230" s="44" t="str">
        <f t="shared" ref="B230:C230" si="566">IF(B193="","",B193)</f>
        <v>Легкая</v>
      </c>
      <c r="C230" s="149" t="str">
        <f t="shared" si="566"/>
        <v>Разведение гантелей в стороны</v>
      </c>
      <c r="D230" s="46">
        <f t="shared" si="551"/>
        <v>0.4</v>
      </c>
      <c r="E230" s="47">
        <f t="shared" si="552"/>
        <v>2</v>
      </c>
      <c r="F230" s="48">
        <f t="shared" si="553"/>
        <v>2.5</v>
      </c>
      <c r="G230" s="49">
        <v>10.0</v>
      </c>
      <c r="H230" s="49">
        <v>4.0</v>
      </c>
      <c r="I230" s="50">
        <v>0.4</v>
      </c>
      <c r="J230" s="48" t="str">
        <f t="shared" si="554"/>
        <v/>
      </c>
      <c r="K230" s="49"/>
      <c r="L230" s="49"/>
      <c r="M230" s="50">
        <v>0.0</v>
      </c>
      <c r="N230" s="48" t="str">
        <f t="shared" si="555"/>
        <v/>
      </c>
      <c r="O230" s="49"/>
      <c r="P230" s="49"/>
      <c r="Q230" s="50">
        <v>0.0</v>
      </c>
      <c r="R230" s="48" t="str">
        <f t="shared" si="556"/>
        <v/>
      </c>
      <c r="S230" s="49"/>
      <c r="T230" s="49"/>
      <c r="U230" s="51">
        <v>0.0</v>
      </c>
      <c r="V230" s="52">
        <f t="shared" si="557"/>
        <v>200</v>
      </c>
      <c r="W230" s="53">
        <f t="shared" si="558"/>
        <v>5</v>
      </c>
      <c r="X230" s="54">
        <f t="shared" si="559"/>
        <v>0.39</v>
      </c>
      <c r="Y230" s="137">
        <f t="shared" si="560"/>
        <v>6.369120904</v>
      </c>
      <c r="Z230" s="53" t="str">
        <f t="shared" si="561"/>
        <v>#REF!</v>
      </c>
      <c r="AA230" s="49">
        <f t="shared" si="562"/>
        <v>40</v>
      </c>
      <c r="AB230" s="56">
        <f t="shared" si="563"/>
        <v>3</v>
      </c>
      <c r="AC230" s="9"/>
      <c r="AD230" s="9"/>
      <c r="AE230" s="9"/>
      <c r="AF230" s="112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</row>
    <row r="231" ht="15.75" customHeight="1">
      <c r="A231" s="72"/>
      <c r="B231" s="73" t="str">
        <f t="shared" ref="B231:C231" si="567">IF(B194="","",B194)</f>
        <v/>
      </c>
      <c r="C231" s="174" t="str">
        <f t="shared" si="567"/>
        <v>Разгибание рук на блоке</v>
      </c>
      <c r="D231" s="75">
        <f>ROUND(IFERROR((D225*(G225*H225+K225*L225+O225*P225+S225*T225)+D226*(G226*H226+K226*L226+O226*P226+S226*T226)+D227*(G227*H227+K227*L227+O227*P227+S227*T227)+D228*(G228*H228+K228*L228+O228*P228+S228*T228)+D229*(G229*H229+K229*L229+O229*P229+S229*T229)+D230*(G230*H230+K230*L230+O230*P230+S230*T230))/((G225*H225+K225*L225+O225*P225+S225*T225)+(G226*H226+K226*L226+O226*P226+S226*T226)+(G227*H227+K227*L227+O227*P227+S227*T227)+(G228*H228+K228*L228+O228*P228+S228*T228)+(G229*H229+K229*L229+O229*P229+S229*T229)+(G230*H230+K230*L230+O230*P230+S230*T230)),0),2)</f>
        <v>0.78</v>
      </c>
      <c r="E231" s="76" t="str">
        <f t="shared" si="552"/>
        <v/>
      </c>
      <c r="F231" s="77"/>
      <c r="G231" s="78"/>
      <c r="H231" s="78"/>
      <c r="I231" s="79"/>
      <c r="J231" s="77"/>
      <c r="K231" s="78"/>
      <c r="L231" s="78"/>
      <c r="M231" s="79"/>
      <c r="N231" s="77"/>
      <c r="O231" s="78"/>
      <c r="P231" s="78"/>
      <c r="Q231" s="79"/>
      <c r="R231" s="77"/>
      <c r="S231" s="78"/>
      <c r="T231" s="78"/>
      <c r="U231" s="80"/>
      <c r="V231" s="81">
        <f>SUM(V225:V230)</f>
        <v>5682.2</v>
      </c>
      <c r="W231" s="82">
        <f>IFERROR(V231/AA231,0)</f>
        <v>21.36165414</v>
      </c>
      <c r="X231" s="83">
        <f>ROUND(IFERROR(((I225*G225*H225+M225*K225*L225+Q225*O225*P225+U225*S225*T225)+(I226*G226*H226+M226*K226*L226+Q226*O226*P226+U226*S226*T226)+(I227*G227*H227+M227*K227*L227+Q227*O227*P227+U227*S227*T227)+(I228*G228*H228+M228*K228*L228+Q228*O228*P228+U228*S228*T228)+(I229*G229*H229+M229*K229*L229+Q229*O229*P229+U229*S229*T229)+(I230*G230*H230+M230*K230*L230+Q230*O230*P230+U230*S230*T230))/((G225*H225+K225*L225+O225*P225+S225*T225)+(G226*H226+K226*L226+O226*P226+S226*T226)+(G227*H227+K227*L227+O227*P227+S227*T227)+(G228*H228+K228*L228+O228*P228+S228*T228)+(G229*H229+K229*L229+O229*P229+S229*T229)+(G230*H230+K230*L230+O230*P230+S230*T230)),0),3)</f>
        <v>0.502</v>
      </c>
      <c r="Y231" s="84"/>
      <c r="Z231" s="82" t="str">
        <f t="shared" ref="Z231:AA231" si="568">SUM(Z225:Z230)</f>
        <v>#REF!</v>
      </c>
      <c r="AA231" s="85">
        <f t="shared" si="568"/>
        <v>266</v>
      </c>
      <c r="AB231" s="86">
        <f>IF(SUM(AB225:AB230)=0,TIME(,0,),TIME(,SUM(AB225:AB230)+30,))</f>
        <v>0.08472222222</v>
      </c>
      <c r="AC231" s="9"/>
      <c r="AD231" s="9"/>
      <c r="AE231" s="9"/>
      <c r="AF231" s="112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</row>
    <row r="232" ht="15.75" customHeight="1">
      <c r="A232" s="88" t="s">
        <v>28</v>
      </c>
      <c r="B232" s="89" t="s">
        <v>18</v>
      </c>
      <c r="C232" s="141" t="str">
        <f t="shared" ref="C232:C234" si="569">IF(C195="","",C195)</f>
        <v>Румынская тяга</v>
      </c>
      <c r="D232" s="29">
        <f t="shared" ref="D232:D237" si="570">D195</f>
        <v>1</v>
      </c>
      <c r="E232" s="91" t="str">
        <f t="shared" si="552"/>
        <v/>
      </c>
      <c r="F232" s="92">
        <f t="shared" ref="F232:F237" si="571">IF(I232&lt;&gt;0,(IFERROR(IF($Y232&gt;50,MROUND($Y232*I232,2.5),IF($Y232&lt;15,MROUND($Y232*I232,0.1),MROUND($Y232*I232,1))),)),"")</f>
        <v>27.5</v>
      </c>
      <c r="G232" s="93">
        <v>10.0</v>
      </c>
      <c r="H232" s="93">
        <v>2.0</v>
      </c>
      <c r="I232" s="94">
        <v>0.45</v>
      </c>
      <c r="J232" s="92">
        <f t="shared" ref="J232:J237" si="572">IF(M232&lt;&gt;0,(IFERROR(IF($Y232&gt;50,MROUND($Y232*M232,2.5),IF($Y232&lt;15,MROUND($Y232*M232,0.1),MROUND($Y232*M232,1))),)),"")</f>
        <v>32.5</v>
      </c>
      <c r="K232" s="93">
        <v>8.0</v>
      </c>
      <c r="L232" s="93">
        <v>4.0</v>
      </c>
      <c r="M232" s="94">
        <v>0.56</v>
      </c>
      <c r="N232" s="92" t="str">
        <f t="shared" ref="N232:N237" si="573">IF(Q232&lt;&gt;0,(IFERROR(IF($Y232&gt;50,MROUND($Y232*Q232,2.5),IF($Y232&lt;15,MROUND($Y232*Q232,0.1),MROUND($Y232*Q232,1))),)),"")</f>
        <v/>
      </c>
      <c r="O232" s="93"/>
      <c r="P232" s="93"/>
      <c r="Q232" s="94">
        <v>0.0</v>
      </c>
      <c r="R232" s="92" t="str">
        <f t="shared" ref="R232:R237" si="574">IF(U232&lt;&gt;0,(IFERROR(IF($Y232&gt;50,MROUND($Y232*U232,2.5),IF($Y232&lt;15,MROUND($Y232*U232,0.1),MROUND($Y232*U232,1))),)),"")</f>
        <v/>
      </c>
      <c r="S232" s="93"/>
      <c r="T232" s="93"/>
      <c r="U232" s="94">
        <v>0.0</v>
      </c>
      <c r="V232" s="95">
        <f t="shared" ref="V232:V237" si="575">(IF(ISNUMBER(F232),F232,1)*G232*H232+IF(ISNUMBER(J232),J232,1)*K232*L232+IF(ISNUMBER(N232),N232,1)*O232*P232+IF(ISNUMBER(R232),R232,1)*S232*T232)*IF(ISNUMBER(E232),E232,1)</f>
        <v>1590</v>
      </c>
      <c r="W232" s="96">
        <f t="shared" ref="W232:W237" si="576">IFERROR((IF(ISNUMBER(F232),F232,1)*G232*H232+IF(ISNUMBER(J232),J232,1)*K232*L232+IF(ISNUMBER(N232),N232,1)*O232*P232+IF(ISNUMBER(R232),R232,1)*S232*T232)*IF(ISNUMBER(E232),E232,1)/(G232*H232+K232*L232+O232*P232+S232*T232),0)</f>
        <v>30.57692308</v>
      </c>
      <c r="X232" s="97">
        <f t="shared" ref="X232:X237" si="577">ROUND(IFERROR((W232/(Y232*IF(ISNUMBER(E232),E232,1))),0),2)</f>
        <v>0.52</v>
      </c>
      <c r="Y232" s="37">
        <f t="shared" ref="Y232:Y237" si="578">IF(ISNUMBER(Y195), Y195+(Y195*$Y$223),"")</f>
        <v>58.38360828</v>
      </c>
      <c r="Z232" s="96" t="str">
        <f t="shared" ref="Z232:Z237" si="579">(IF(I232&lt;30%,0,IF(I232&lt;35%,F232*G232*H232*F!$B$33,IF(I232&lt;40%,F232*G232*H232*F!$B$38,IF(I232&lt;45%,F232*G232*H232*F!$B$43,IF(I232&lt;50%,F232*G232*H232*F!$B$48,IF(I232=50%,F232*G232*H232*F!$B$50,IF(I232=51%,F232*G232*H232*F!$B$51,IF(I232=52%,F232*G232*H232*F!$B$52,IF(I232=53%,F232*G232*H232*F!$B$53,IF(I232=54%,F232*G232*H232*F!$B$54,IF(I232=55%,F232*G232*H232*F!$B$55,IF(I232=56%,F232*G232*H232*F!$B$56,IF(I232=57%,F232*G232*H232*F!$B$57,IF(I232=58%,F232*G232*H232*F!$B$58,IF(I232=59%,F232*G232*H232*F!$B$59,IF(I232=60%,F232*G232*H232*F!$B$60,IF(I232=61%,F232*G232*H232*F!$B$61,IF(I232=62%,F232*G232*H232*F!$B$62,IF(I232=63%,F232*G232*H232*F!$B$63,IF(I232=64%,F232*G232*H232*F!$B$64,IF(I232=65%,F232*G232*H232*F!$B$65,IF(I232=66%,F232*G232*H232*F!$B$66,IF(I232=67%,F232*G232*H232*F!$B$67,IF(I232=68%,F232*G232*H232*F!$B$68,IF(I232=69%,F232*G232*H232*F!$B$69,IF(I232=70%,F232*G232*H232*F!$B$70,IF(I232=71%,F232*G232*H232*F!$B$71,IF(I232=72%,F232*G232*H232*F!$B$72,IF(I232=73%,F232*G232*H232*F!$B$73,IF(I232=74%,F232*G232*H232*F!$B$74,IF(I232=75%,F232*G232*H232*F!$B$75,IF(I232=76%,F232*G232*H232*F!$B$76,IF(I232=77%,F232*G232*H232*F!$B$77,IF(I232=78%,F232*G232*H232*F!$B$78,IF(I232=79%,F232*G232*H232*F!$B$79,IF(I232=80%,F232*G232*H232*F!$B$80,IF(I232=81%,F232*G232*H232*F!$B$81,IF(I232=82%,F232*G232*H232*F!$B$82,IF(I232=83%,F232*G232*H232*F!$B$83,IF(I232=84%,F232*G232*H232*F!$B$84,IF(I232=85%,F232*G232*H232*F!$B$85,IF(I232=86%,F232*G232*H232*F!$B$86,IF(I232=87%,F232*G232*H232*F!$B$87,IF(I232=88%,F232*G232*H232*F!$B$88,IF(I232=89%,F232*G232*H232*F!$B$89,IF(I232=90%,F232*G232*H232*F!$B$90,IF(I232=91%,F232*G232*H232*F!$B$91,IF(I232=92%,F232*G232*H232*F!$B$92,IF(I232=93%,F232*G232*H232*F!$B$93,IF(I232=94%,F232*G232*H232*F!$B$94,IF(I232=95%,F232*G232*H232*F!$B$95,IF(I232=96%,F232*G232*H232*F!$B$96,IF(I232=97%,F232*G232*H232*F!$B$97,IF(I232=98%,F232*G232*H232*F!$B$98,IF(I232=99%,F232*G232*H232*F!$B$99,IF(I232&gt;99%,F232*G232*H232*F!$B$100,))))))))))))))))))))))))))))))))))))))))))))))))))))))))+IF(M232&lt;30%,0,IF(M232&lt;35%,J232*K232*L232*F!$B$33,IF(M232&lt;40%,J232*K232*L232*F!$B$38,IF(M232&lt;45%,J232*K232*L232*F!$B$43,IF(M232&lt;50%,J232*K232*L232*F!$B$48,IF(M232=50%,J232*K232*L232*F!$B$50,IF(M232=51%,J232*K232*L232*F!$B$51,IF(M232=52%,J232*K232*L232*F!$B$52,IF(M232=53%,J232*K232*L232*F!$B$53,IF(M232=54%,J232*K232*L232*F!$B$54,IF(M232=55%,J232*K232*L232*F!$B$55,IF(M232=56%,J232*K232*L232*F!$B$56,IF(M232=57%,J232*K232*L232*F!$B$57,IF(M232=58%,J232*K232*L232*F!$B$58,IF(M232=59%,J232*K232*L232*F!$B$59,IF(M232=60%,J232*K232*L232*F!$B$60,IF(M232=61%,J232*K232*L232*F!$B$61,IF(M232=62%,J232*K232*L232*F!$B$62,IF(M232=63%,J232*K232*L232*F!$B$63,IF(M232=64%,J232*K232*L232*F!$B$64,IF(M232=65%,J232*K232*L232*F!$B$65,IF(M232=66%,J232*K232*L232*F!$B$66,IF(M232=67%,J232*K232*L232*F!$B$67,IF(M232=68%,J232*K232*L232*F!$B$68,IF(M232=69%,J232*K232*L232*F!$B$69,IF(M232=70%,J232*K232*L232*F!$B$70,IF(M232=71%,J232*K232*L232*F!$B$71,IF(M232=72%,J232*K232*L232*F!$B$72,IF(M232=73%,J232*K232*L232*F!$B$73,IF(M232=74%,J232*K232*L232*F!$B$74,IF(M232=75%,J232*K232*L232*F!$B$75,IF(M232=76%,J232*K232*L232*F!$B$76,IF(M232=77%,J232*K232*L232*F!$B$77,IF(M232=78%,J232*K232*L232*F!$B$78,IF(M232=79%,J232*K232*L232*F!$B$79,IF(M232=80%,J232*K232*L232*F!$B$80,IF(M232=81%,J232*K232*L232*F!$B$81,IF(M232=82%,J232*K232*L232*F!$B$82,IF(M232=83%,J232*K232*L232*F!$B$83,IF(M232=84%,J232*K232*L232*F!$B$84,IF(M232=85%,J232*K232*L232*F!$B$85,IF(M232=86%,J232*K232*L232*F!$B$86,IF(M232=87%,J232*K232*L232*F!$B$87,IF(M232=88%,J232*K232*L232*F!$B$88,IF(M232=89%,J232*K232*L232*F!$B$89,IF(M232=90%,J232*K232*L232*F!$B$90,IF(M232=91%,J232*K232*L232*F!$B$91,IF(M232=92%,J232*K232*L232*F!$B$92,IF(M232=93%,J232*K232*L232*F!$B$93,IF(M232=94%,J232*K232*L232*F!$B$94,IF(M232=95%,J232*K232*L232*F!$B$95,IF(M232=96%,J232*K232*L232*F!$B$96,IF(M232=97%,J232*K232*L232*F!$B$97,IF(M232=98%,J232*K232*L232*F!$B$98,IF(M232=99%,J232*K232*L232*F!$B$99,IF(M232&gt;99%,J232*K232*L232*F!$B$100,))))))))))))))))))))))))))))))))))))))))))))))))))))))))+IF(Q232&lt;30%,0,IF(Q232&lt;35%,N232*O232*P232*F!$B$33,IF(Q232&lt;40%,N232*O232*P232*F!$B$38,IF(Q232&lt;45%,N232*O232*P232*F!$B$43,IF(Q232&lt;50%,N232*O232*P232*F!$B$48,IF(Q232=50%,N232*O232*P232*F!$B$50,IF(Q232=51%,N232*O232*P232*F!$B$51,IF(Q232=52%,N232*O232*P232*F!$B$52,IF(Q232=53%,N232*O232*P232*F!$B$53,IF(Q232=54%,N232*O232*P232*F!$B$54,IF(Q232=55%,N232*O232*P232*F!$B$55,IF(Q232=56%,N232*O232*P232*F!$B$56,IF(Q232=57%,N232*O232*P232*F!$B$57,IF(Q232=58%,N232*O232*P232*F!$B$58,IF(Q232=59%,N232*O232*P232*F!$B$59,IF(Q232=60%,N232*O232*P232*F!$B$60,IF(Q232=61%,N232*O232*P232*F!$B$61,IF(Q232=62%,N232*O232*P232*F!$B$62,IF(Q232=63%,N232*O232*P232*F!$B$63,IF(Q232=64%,N232*O232*P232*F!$B$64,IF(Q232=65%,N232*O232*P232*F!$B$65,IF(Q232=66%,N232*O232*P232*F!$B$66,IF(Q232=67%,N232*O232*P232*F!$B$67,IF(Q232=68%,N232*O232*P232*F!$B$68,IF(Q232=69%,N232*O232*P232*F!$B$69,IF(Q232=70%,N232*O232*P232*F!$B$70,IF(Q232=71%,N232*O232*P232*F!$B$71,IF(Q232=72%,N232*O232*P232*F!$B$72,IF(Q232=73%,N232*O232*P232*F!$B$73,IF(Q232=74%,N232*O232*P232*F!$B$74,IF(Q232=75%,N232*O232*P232*F!$B$75,IF(Q232=76%,N232*O232*P232*F!$B$76,IF(Q232=77%,N232*O232*P232*F!$B$77,IF(Q232=78%,N232*O232*P232*F!$B$78,IF(Q232=79%,N232*O232*P232*F!$B$79,IF(Q232=80%,N232*O232*P232*F!$B$80,IF(Q232=81%,N232*O232*P232*F!$B$81,IF(Q232=82%,N232*O232*P232*F!$B$82,IF(Q232=83%,N232*O232*P232*F!$B$83,IF(Q232=84%,N232*O232*P232*F!$B$84,IF(Q232=85%,N232*O232*P232*F!$B$85,IF(Q232=86%,N232*O232*P232*F!$B$86,IF(Q232=87%,N232*O232*P232*F!$B$87,IF(Q232=88%,N232*O232*P232*F!$B$88,IF(Q232=89%,N232*O232*P232*F!$B$89,IF(Q232=90%,N232*O232*P232*F!$B$90,IF(Q232=91%,N232*O232*P232*F!$B$91,IF(Q232=92%,N232*O232*P232*F!$B$92,IF(Q232=93%,N232*O232*P232*F!$B$93,IF(Q232=94%,N232*O232*P232*F!$B$94,IF(Q232=95%,N232*O232*P232*F!$B$95,IF(Q232=96%,N232*O232*P232*F!$B$96,IF(Q232=97%,N232*O232*P232*F!$B$97,IF(Q232=98%,N232*O232*P232*F!$B$98,IF(Q232=99%,N232*O232*P232*F!$B$99,IF(Q232&gt;99%,N232*O232*P232*F!$B$100,))))))))))))))))))))))))))))))))))))))))))))))))))))))))+IF(U232&lt;30%,0,IF(U232&lt;35%,R232*S232*T232*F!$B$33,IF(U232&lt;40%,R232*S232*T232*F!$B$38,IF(U232&lt;45%,R232*S232*T232*F!$B$43,IF(U232&lt;50%,R232*S232*T232*F!$B$48,IF(U232=50%,R232*S232*T232*F!$B$50,IF(U232=51%,R232*S232*T232*F!$B$51,IF(U232=52%,R232*S232*T232*F!$B$52,IF(U232=53%,R232*S232*T232*F!$B$53,IF(U232=54%,R232*S232*T232*F!$B$54,IF(U232=55%,R232*S232*T232*F!$B$55,IF(U232=56%,R232*S232*T232*F!$B$56,IF(U232=57%,R232*S232*T232*F!$B$57,IF(U232=58%,R232*S232*T232*F!$B$58,IF(U232=59%,R232*S232*T232*F!$B$59,IF(U232=60%,R232*S232*T232*F!$B$60,IF(U232=61%,R232*S232*T232*F!$B$61,IF(U232=62%,R232*S232*T232*F!$B$62,IF(U232=63%,R232*S232*T232*F!$B$63,IF(U232=64%,R232*S232*T232*F!$B$64,IF(U232=65%,R232*S232*T232*F!$B$65,IF(U232=66%,R232*S232*T232*F!$B$66,IF(U232=67%,R232*S232*T232*F!$B$67,IF(U232=68%,R232*S232*T232*F!$B$68,IF(U232=69%,R232*S232*T232*F!$B$69,IF(U232=70%,R232*S232*T232*F!$B$70,IF(U232=71%,R232*S232*T232*F!$B$71,IF(U232=72%,R232*S232*T232*F!$B$72,IF(U232=73%,R232*S232*T232*F!$B$73,IF(U232=74%,R232*S232*T232*F!$B$74,IF(U232=75%,R232*S232*T232*F!$B$75,IF(U232=76%,R232*S232*T232*F!$B$76,IF(U232=77%,R232*S232*T232*F!$B$77,IF(U232=78%,R232*S232*T232*F!$B$78,IF(U232=79%,R232*S232*T232*F!$B$79,IF(U232=80%,R232*S232*T232*F!$B$80,IF(U232=81%,R232*S232*T232*F!$B$81,IF(U232=82%,R232*S232*T232*F!$B$82,IF(U232=83%,R232*S232*T232*F!$B$83,IF(U232=84%,R232*S232*T232*F!$B$84,IF(U232=85%,R232*S232*T232*F!$B$85,IF(U232=86%,R232*S232*T232*F!$B$86,IF(U232=87%,R232*S232*T232*F!$B$87,IF(U232=88%,R232*S232*T232*F!$B$88,IF(U232=89%,R232*S232*T232*F!$B$89,IF(U232=90%,R232*S232*T232*F!$B$90,IF(U232=91%,R232*S232*T232*F!$B$91,IF(U232=92%,R232*S232*T232*F!$B$92,IF(U232=93%,R232*S232*T232*F!$B$93,IF(U232=94%,R232*S232*T232*F!$B$94,IF(U232=95%,R232*S232*T232*F!$B$95,IF(U232=96%,R232*S232*T232*F!$B$96,IF(U232=97%,R232*S232*T232*F!$B$97,IF(U232=98%,R232*S232*T232*F!$B$98,IF(U232=99%,R232*S232*T232*F!$B$99,IF(U232&gt;99%,R232*S232*T232*F!$B$100)))))))))))))))))))))))))))))))))))))))))))))))))))))))))*IF(ISNUMBER(E232),E232,1)*IF(ISNUMBER(D232),D232,1)</f>
        <v>#REF!</v>
      </c>
      <c r="AA232" s="93">
        <f t="shared" ref="AA232:AA237" si="580">G232*H232+K232*L232+O232*P232+S232*T232</f>
        <v>52</v>
      </c>
      <c r="AB232" s="99">
        <f t="shared" ref="AB232:AB237" si="581">(H232*(IF(I232&lt;45%,0.5,IF(I232&lt;55%,0.8,IF(I232&lt;65%,0.9,IF(I232&lt;75%,1,IF(I232&lt;85%,1.1,1.2))))))+L232*(IF(M232&lt;45%,0.5,IF(M232&lt;55%,0.8,IF(M232&lt;65%,0.9,IF(M232&lt;75%,1,IF(M232&lt;85%,1.1,1.2))))))+P232*(IF(Q232&lt;45%,0.5,IF(Q232&lt;55%,0.8,IF(Q232&lt;65%,0.9,IF(Q232&lt;75%,1,IF(Q232&lt;85%,1.1,1.2))))))+T232*(IF(U232&lt;45%,0.5,IF(U232&lt;55%,0.8,IF(U232&lt;65%,0.9,IF(U232&lt;75%,1,IF(U232&lt;85%,1.1,1.2)))))))*IF(D232&gt;=0.8,6,IF(D232&lt;=0.4,1.5,3))</f>
        <v>31.2</v>
      </c>
      <c r="AC232" s="9"/>
      <c r="AD232" s="9"/>
      <c r="AE232" s="9"/>
      <c r="AF232" s="112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</row>
    <row r="233" ht="15.0" customHeight="1">
      <c r="A233" s="43">
        <f>A226+2</f>
        <v>42375</v>
      </c>
      <c r="B233" s="101" t="s">
        <v>18</v>
      </c>
      <c r="C233" s="143" t="str">
        <f t="shared" si="569"/>
        <v>Выпады назад</v>
      </c>
      <c r="D233" s="46">
        <f t="shared" si="570"/>
        <v>1</v>
      </c>
      <c r="E233" s="144">
        <f t="shared" si="552"/>
        <v>2</v>
      </c>
      <c r="F233" s="59">
        <f t="shared" si="571"/>
        <v>6.7</v>
      </c>
      <c r="G233" s="60">
        <v>10.0</v>
      </c>
      <c r="H233" s="60">
        <v>2.0</v>
      </c>
      <c r="I233" s="61">
        <v>0.45</v>
      </c>
      <c r="J233" s="59">
        <f t="shared" si="572"/>
        <v>8</v>
      </c>
      <c r="K233" s="60">
        <v>8.0</v>
      </c>
      <c r="L233" s="60">
        <v>3.0</v>
      </c>
      <c r="M233" s="61">
        <v>0.54</v>
      </c>
      <c r="N233" s="59" t="str">
        <f t="shared" si="573"/>
        <v/>
      </c>
      <c r="O233" s="60"/>
      <c r="P233" s="60"/>
      <c r="Q233" s="61">
        <v>0.0</v>
      </c>
      <c r="R233" s="59" t="str">
        <f t="shared" si="574"/>
        <v/>
      </c>
      <c r="S233" s="60"/>
      <c r="T233" s="60"/>
      <c r="U233" s="61">
        <v>0.0</v>
      </c>
      <c r="V233" s="104">
        <f t="shared" si="575"/>
        <v>652</v>
      </c>
      <c r="W233" s="64">
        <f t="shared" si="576"/>
        <v>14.81818182</v>
      </c>
      <c r="X233" s="65">
        <f t="shared" si="577"/>
        <v>0.5</v>
      </c>
      <c r="Y233" s="137">
        <f t="shared" si="578"/>
        <v>14.86128211</v>
      </c>
      <c r="Z233" s="64" t="str">
        <f t="shared" si="579"/>
        <v>#REF!</v>
      </c>
      <c r="AA233" s="60">
        <f t="shared" si="580"/>
        <v>44</v>
      </c>
      <c r="AB233" s="66">
        <f t="shared" si="581"/>
        <v>24</v>
      </c>
      <c r="AC233" s="9"/>
      <c r="AD233" s="9"/>
      <c r="AE233" s="9"/>
      <c r="AF233" s="112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</row>
    <row r="234" ht="15.75" customHeight="1">
      <c r="A234" s="57"/>
      <c r="B234" s="101" t="s">
        <v>20</v>
      </c>
      <c r="C234" s="143" t="str">
        <f t="shared" si="569"/>
        <v>Отведение ноги назад</v>
      </c>
      <c r="D234" s="46">
        <f t="shared" si="570"/>
        <v>0.3</v>
      </c>
      <c r="E234" s="144">
        <f t="shared" si="552"/>
        <v>4</v>
      </c>
      <c r="F234" s="105">
        <f t="shared" si="571"/>
        <v>2</v>
      </c>
      <c r="G234" s="106">
        <v>12.0</v>
      </c>
      <c r="H234" s="106">
        <v>3.0</v>
      </c>
      <c r="I234" s="107">
        <v>0.37</v>
      </c>
      <c r="J234" s="105" t="str">
        <f t="shared" si="572"/>
        <v/>
      </c>
      <c r="K234" s="106"/>
      <c r="L234" s="106"/>
      <c r="M234" s="107">
        <v>0.0</v>
      </c>
      <c r="N234" s="105" t="str">
        <f t="shared" si="573"/>
        <v/>
      </c>
      <c r="O234" s="106"/>
      <c r="P234" s="106"/>
      <c r="Q234" s="107">
        <v>0.0</v>
      </c>
      <c r="R234" s="105" t="str">
        <f t="shared" si="574"/>
        <v/>
      </c>
      <c r="S234" s="106"/>
      <c r="T234" s="106"/>
      <c r="U234" s="107">
        <v>0.0</v>
      </c>
      <c r="V234" s="108">
        <f t="shared" si="575"/>
        <v>288</v>
      </c>
      <c r="W234" s="109">
        <f t="shared" si="576"/>
        <v>8</v>
      </c>
      <c r="X234" s="110">
        <f t="shared" si="577"/>
        <v>0.38</v>
      </c>
      <c r="Y234" s="137">
        <f t="shared" si="578"/>
        <v>5.307600753</v>
      </c>
      <c r="Z234" s="109" t="str">
        <f t="shared" si="579"/>
        <v>#REF!</v>
      </c>
      <c r="AA234" s="106">
        <f t="shared" si="580"/>
        <v>36</v>
      </c>
      <c r="AB234" s="111">
        <f t="shared" si="581"/>
        <v>2.25</v>
      </c>
      <c r="AC234" s="9"/>
      <c r="AD234" s="9"/>
      <c r="AE234" s="9"/>
      <c r="AF234" s="112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</row>
    <row r="235" ht="15.75" customHeight="1">
      <c r="A235" s="57"/>
      <c r="B235" s="101" t="str">
        <f t="shared" ref="B235:C235" si="582">IF(B198="","",B198)</f>
        <v>Легкая</v>
      </c>
      <c r="C235" s="143" t="str">
        <f t="shared" si="582"/>
        <v>Тяга верхнего блока</v>
      </c>
      <c r="D235" s="46">
        <f t="shared" si="570"/>
        <v>0.3</v>
      </c>
      <c r="E235" s="144">
        <f t="shared" si="552"/>
        <v>4</v>
      </c>
      <c r="F235" s="59">
        <f t="shared" si="571"/>
        <v>3</v>
      </c>
      <c r="G235" s="60">
        <v>12.0</v>
      </c>
      <c r="H235" s="60">
        <v>3.0</v>
      </c>
      <c r="I235" s="61">
        <v>0.35</v>
      </c>
      <c r="J235" s="59" t="str">
        <f t="shared" si="572"/>
        <v/>
      </c>
      <c r="K235" s="60"/>
      <c r="L235" s="60"/>
      <c r="M235" s="61">
        <v>0.0</v>
      </c>
      <c r="N235" s="59" t="str">
        <f t="shared" si="573"/>
        <v/>
      </c>
      <c r="O235" s="60"/>
      <c r="P235" s="60"/>
      <c r="Q235" s="61">
        <v>0.0</v>
      </c>
      <c r="R235" s="59" t="str">
        <f t="shared" si="574"/>
        <v/>
      </c>
      <c r="S235" s="60"/>
      <c r="T235" s="60"/>
      <c r="U235" s="61">
        <v>0.0</v>
      </c>
      <c r="V235" s="104">
        <f t="shared" si="575"/>
        <v>432</v>
      </c>
      <c r="W235" s="64">
        <f t="shared" si="576"/>
        <v>12</v>
      </c>
      <c r="X235" s="65">
        <f t="shared" si="577"/>
        <v>0.35</v>
      </c>
      <c r="Y235" s="137">
        <f t="shared" si="578"/>
        <v>8.492161205</v>
      </c>
      <c r="Z235" s="64" t="str">
        <f t="shared" si="579"/>
        <v>#REF!</v>
      </c>
      <c r="AA235" s="60">
        <f t="shared" si="580"/>
        <v>36</v>
      </c>
      <c r="AB235" s="66">
        <f t="shared" si="581"/>
        <v>2.25</v>
      </c>
      <c r="AC235" s="9"/>
      <c r="AD235" s="9"/>
      <c r="AE235" s="9"/>
      <c r="AF235" s="112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</row>
    <row r="236" ht="15.75" customHeight="1">
      <c r="A236" s="57"/>
      <c r="B236" s="101" t="str">
        <f t="shared" ref="B236:C236" si="583">IF(B199="","",B199)</f>
        <v>Средняя</v>
      </c>
      <c r="C236" s="143" t="str">
        <f t="shared" si="583"/>
        <v>Тяга горизонтального блока</v>
      </c>
      <c r="D236" s="46">
        <f t="shared" si="570"/>
        <v>0.3</v>
      </c>
      <c r="E236" s="144">
        <f t="shared" si="552"/>
        <v>4</v>
      </c>
      <c r="F236" s="105">
        <f t="shared" si="571"/>
        <v>4.3</v>
      </c>
      <c r="G236" s="106">
        <v>10.0</v>
      </c>
      <c r="H236" s="106">
        <v>3.0</v>
      </c>
      <c r="I236" s="107">
        <v>0.45</v>
      </c>
      <c r="J236" s="105">
        <f t="shared" si="572"/>
        <v>5.3</v>
      </c>
      <c r="K236" s="106">
        <v>8.0</v>
      </c>
      <c r="L236" s="106">
        <v>1.0</v>
      </c>
      <c r="M236" s="107">
        <v>0.55</v>
      </c>
      <c r="N236" s="105" t="str">
        <f t="shared" si="573"/>
        <v/>
      </c>
      <c r="O236" s="106"/>
      <c r="P236" s="106"/>
      <c r="Q236" s="107">
        <v>0.0</v>
      </c>
      <c r="R236" s="105" t="str">
        <f t="shared" si="574"/>
        <v/>
      </c>
      <c r="S236" s="106"/>
      <c r="T236" s="106"/>
      <c r="U236" s="107">
        <v>0.0</v>
      </c>
      <c r="V236" s="108">
        <f t="shared" si="575"/>
        <v>685.6</v>
      </c>
      <c r="W236" s="109">
        <f t="shared" si="576"/>
        <v>18.04210526</v>
      </c>
      <c r="X236" s="117">
        <f t="shared" si="577"/>
        <v>0.47</v>
      </c>
      <c r="Y236" s="137">
        <f t="shared" si="578"/>
        <v>9.553681355</v>
      </c>
      <c r="Z236" s="109" t="str">
        <f t="shared" si="579"/>
        <v>#REF!</v>
      </c>
      <c r="AA236" s="106">
        <f t="shared" si="580"/>
        <v>38</v>
      </c>
      <c r="AB236" s="111">
        <f t="shared" si="581"/>
        <v>4.95</v>
      </c>
      <c r="AC236" s="9"/>
      <c r="AD236" s="9"/>
      <c r="AE236" s="9"/>
      <c r="AF236" s="112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</row>
    <row r="237" ht="15.75" customHeight="1">
      <c r="A237" s="57"/>
      <c r="B237" s="101" t="str">
        <f t="shared" ref="B237:C237" si="584">IF(B200="","",B200)</f>
        <v>Средняя</v>
      </c>
      <c r="C237" s="143" t="str">
        <f t="shared" si="584"/>
        <v>Разведения в тренажёре на заднюю дельту</v>
      </c>
      <c r="D237" s="46">
        <f t="shared" si="570"/>
        <v>0.3</v>
      </c>
      <c r="E237" s="144">
        <f t="shared" si="552"/>
        <v>4</v>
      </c>
      <c r="F237" s="59">
        <f t="shared" si="571"/>
        <v>1.9</v>
      </c>
      <c r="G237" s="60">
        <v>10.0</v>
      </c>
      <c r="H237" s="60">
        <v>2.0</v>
      </c>
      <c r="I237" s="61">
        <v>0.45</v>
      </c>
      <c r="J237" s="59">
        <f t="shared" si="572"/>
        <v>2.5</v>
      </c>
      <c r="K237" s="60">
        <v>8.0</v>
      </c>
      <c r="L237" s="60">
        <v>1.0</v>
      </c>
      <c r="M237" s="61">
        <v>0.6</v>
      </c>
      <c r="N237" s="59" t="str">
        <f t="shared" si="573"/>
        <v/>
      </c>
      <c r="O237" s="60"/>
      <c r="P237" s="60"/>
      <c r="Q237" s="61">
        <v>0.0</v>
      </c>
      <c r="R237" s="59" t="str">
        <f t="shared" si="574"/>
        <v/>
      </c>
      <c r="S237" s="60"/>
      <c r="T237" s="60"/>
      <c r="U237" s="61">
        <v>0.0</v>
      </c>
      <c r="V237" s="104">
        <f t="shared" si="575"/>
        <v>232</v>
      </c>
      <c r="W237" s="64">
        <f t="shared" si="576"/>
        <v>8.285714286</v>
      </c>
      <c r="X237" s="65">
        <f t="shared" si="577"/>
        <v>0.49</v>
      </c>
      <c r="Y237" s="137">
        <f t="shared" si="578"/>
        <v>4.246080602</v>
      </c>
      <c r="Z237" s="64" t="str">
        <f t="shared" si="579"/>
        <v>#REF!</v>
      </c>
      <c r="AA237" s="60">
        <f t="shared" si="580"/>
        <v>28</v>
      </c>
      <c r="AB237" s="66">
        <f t="shared" si="581"/>
        <v>3.75</v>
      </c>
      <c r="AC237" s="9"/>
      <c r="AD237" s="9"/>
      <c r="AE237" s="9"/>
      <c r="AF237" s="112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</row>
    <row r="238" ht="15.75" customHeight="1">
      <c r="A238" s="72"/>
      <c r="B238" s="119" t="str">
        <f t="shared" ref="B238:C238" si="585">IF(B201="","",B201)</f>
        <v/>
      </c>
      <c r="C238" s="146" t="str">
        <f t="shared" si="585"/>
        <v>Сгибания рук с гантелями</v>
      </c>
      <c r="D238" s="75">
        <f>ROUND(IFERROR((D232*(G232*H232+K232*L232+O232*P232+S232*T232)+D233*(G233*H233+K233*L233+O233*P233+S233*T233)+D234*(G234*H234+K234*L234+O234*P234+S234*T234)+D235*(G235*H235+K235*L235+O235*P235+S235*T235)+D236*(G236*H236+K236*L236+O236*P236+S236*T236)+D237*(G237*H237+K237*L237+O237*P237+S237*T237))/((G232*H232+K232*L232+O232*P232+S232*T232)+(G233*H233+K233*L233+O233*P233+S233*T233)+(G234*H234+K234*L234+O234*P234+S234*T234)+(G235*H235+K235*L235+O235*P235+S235*T235)+(G236*H236+K236*L236+O236*P236+S236*T236)+(G237*H237+K237*L237+O237*P237+S237*T237)),0),2)</f>
        <v>0.59</v>
      </c>
      <c r="E238" s="121" t="str">
        <f t="shared" si="552"/>
        <v/>
      </c>
      <c r="F238" s="122"/>
      <c r="G238" s="123"/>
      <c r="H238" s="123"/>
      <c r="I238" s="124"/>
      <c r="J238" s="122"/>
      <c r="K238" s="123"/>
      <c r="L238" s="123"/>
      <c r="M238" s="124"/>
      <c r="N238" s="122"/>
      <c r="O238" s="123"/>
      <c r="P238" s="123"/>
      <c r="Q238" s="124"/>
      <c r="R238" s="122"/>
      <c r="S238" s="123"/>
      <c r="T238" s="123"/>
      <c r="U238" s="124"/>
      <c r="V238" s="125">
        <f>SUM(V232:V237)</f>
        <v>3879.6</v>
      </c>
      <c r="W238" s="82">
        <f>IFERROR(V238/AA238,0)</f>
        <v>16.57948718</v>
      </c>
      <c r="X238" s="83">
        <f>ROUND(IFERROR(((I232*G232*H232+M232*K232*L232+Q232*O232*P232+U232*S232*T232)+(I233*G233*H233+M233*K233*L233+Q233*O233*P233+U233*S233*T233)+(I234*G234*H234+M234*K234*L234+Q234*O234*P234+U234*S234*T234)+(I235*G235*H235+M235*K235*L235+Q235*O235*P235+U235*S235*T235)+(I236*G236*H236+M236*K236*L236+Q236*O236*P236+U236*S236*T236)+(I237*G237*H237+M237*K237*L237+Q237*O237*P237+U237*S237*T237))/((G232*H232+K232*L232+O232*P232+S232*T232)+(G233*H233+K233*L233+O233*P233+S233*T233)+(G234*H234+K234*L234+O234*P234+S234*T234)+(G235*H235+K235*L235+O235*P235+S235*T235)+(G236*H236+K236*L236+O236*P236+S236*T236)+(G237*H237+K237*L237+O237*P237+S237*T237)),0),3)</f>
        <v>0.455</v>
      </c>
      <c r="Y238" s="84"/>
      <c r="Z238" s="82" t="str">
        <f t="shared" ref="Z238:AA238" si="586">SUM(Z232:Z237)</f>
        <v>#REF!</v>
      </c>
      <c r="AA238" s="85">
        <f t="shared" si="586"/>
        <v>234</v>
      </c>
      <c r="AB238" s="86">
        <f>IF(SUM(AB232:AB237)=0,TIME(,0,),TIME(,SUM(AB232:AB237)+30,))</f>
        <v>0.06805555556</v>
      </c>
      <c r="AC238" s="9"/>
      <c r="AD238" s="9"/>
      <c r="AE238" s="9"/>
      <c r="AF238" s="112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</row>
    <row r="239" ht="15.75" customHeight="1">
      <c r="A239" s="126" t="s">
        <v>36</v>
      </c>
      <c r="B239" s="127" t="s">
        <v>23</v>
      </c>
      <c r="C239" s="176" t="str">
        <f>IF(C202="","",C202)</f>
        <v>Ягодичный мост</v>
      </c>
      <c r="D239" s="29">
        <f t="shared" ref="D239:D244" si="588">D202</f>
        <v>1.3</v>
      </c>
      <c r="E239" s="129" t="str">
        <f t="shared" si="552"/>
        <v/>
      </c>
      <c r="F239" s="31">
        <f t="shared" ref="F239:F244" si="589">IF(I239&lt;&gt;0,(IFERROR(IF($Y239&gt;50,MROUND($Y239*I239,2.5),IF($Y239&lt;15,MROUND($Y239*I239,0.1),MROUND($Y239*I239,1))),)),"")</f>
        <v>57.5</v>
      </c>
      <c r="G239" s="32">
        <v>12.0</v>
      </c>
      <c r="H239" s="32">
        <v>1.0</v>
      </c>
      <c r="I239" s="33">
        <v>0.55</v>
      </c>
      <c r="J239" s="31">
        <f t="shared" ref="J239:J244" si="590">IF(M239&lt;&gt;0,(IFERROR(IF($Y239&gt;50,MROUND($Y239*M239,2.5),IF($Y239&lt;15,MROUND($Y239*M239,0.1),MROUND($Y239*M239,1))),)),"")</f>
        <v>70</v>
      </c>
      <c r="K239" s="32">
        <v>10.0</v>
      </c>
      <c r="L239" s="32">
        <v>1.0</v>
      </c>
      <c r="M239" s="33">
        <v>0.65</v>
      </c>
      <c r="N239" s="31">
        <f t="shared" ref="N239:N244" si="591">IF(Q239&lt;&gt;0,(IFERROR(IF($Y239&gt;50,MROUND($Y239*Q239,2.5),IF($Y239&lt;15,MROUND($Y239*Q239,0.1),MROUND($Y239*Q239,1))),)),"")</f>
        <v>82.5</v>
      </c>
      <c r="O239" s="32">
        <v>8.0</v>
      </c>
      <c r="P239" s="32">
        <v>3.0</v>
      </c>
      <c r="Q239" s="33">
        <v>0.77</v>
      </c>
      <c r="R239" s="31" t="str">
        <f t="shared" ref="R239:R244" si="592">IF(U239&lt;&gt;0,(IFERROR(IF($Y239&gt;50,MROUND($Y239*U239,2.5),IF($Y239&lt;15,MROUND($Y239*U239,0.1),MROUND($Y239*U239,1))),)),"")</f>
        <v/>
      </c>
      <c r="S239" s="32"/>
      <c r="T239" s="32"/>
      <c r="U239" s="33">
        <v>0.0</v>
      </c>
      <c r="V239" s="130">
        <f t="shared" ref="V239:V244" si="593">(IF(ISNUMBER(F239),F239,1)*G239*H239+IF(ISNUMBER(J239),J239,1)*K239*L239+IF(ISNUMBER(N239),N239,1)*O239*P239+IF(ISNUMBER(R239),R239,1)*S239*T239)*IF(ISNUMBER(E239),E239,1)</f>
        <v>3370</v>
      </c>
      <c r="W239" s="36">
        <f t="shared" ref="W239:W244" si="594">IFERROR((IF(ISNUMBER(F239),F239,1)*G239*H239+IF(ISNUMBER(J239),J239,1)*K239*L239+IF(ISNUMBER(N239),N239,1)*O239*P239+IF(ISNUMBER(R239),R239,1)*S239*T239)*IF(ISNUMBER(E239),E239,1)/(G239*H239+K239*L239+O239*P239+S239*T239),0)</f>
        <v>73.26086957</v>
      </c>
      <c r="X239" s="34">
        <f t="shared" ref="X239:X244" si="595">ROUND(IFERROR((W239/(Y239*IF(ISNUMBER(E239),E239,1))),0),2)</f>
        <v>0.69</v>
      </c>
      <c r="Y239" s="37">
        <f t="shared" ref="Y239:Y244" si="596">IF(ISNUMBER(Y202), Y202+(Y202*$Y$223),"")</f>
        <v>106.1520151</v>
      </c>
      <c r="Z239" s="36" t="str">
        <f t="shared" ref="Z239:Z244" si="597">(IF(I239&lt;30%,0,IF(I239&lt;35%,F239*G239*H239*F!$B$33,IF(I239&lt;40%,F239*G239*H239*F!$B$38,IF(I239&lt;45%,F239*G239*H239*F!$B$43,IF(I239&lt;50%,F239*G239*H239*F!$B$48,IF(I239=50%,F239*G239*H239*F!$B$50,IF(I239=51%,F239*G239*H239*F!$B$51,IF(I239=52%,F239*G239*H239*F!$B$52,IF(I239=53%,F239*G239*H239*F!$B$53,IF(I239=54%,F239*G239*H239*F!$B$54,IF(I239=55%,F239*G239*H239*F!$B$55,IF(I239=56%,F239*G239*H239*F!$B$56,IF(I239=57%,F239*G239*H239*F!$B$57,IF(I239=58%,F239*G239*H239*F!$B$58,IF(I239=59%,F239*G239*H239*F!$B$59,IF(I239=60%,F239*G239*H239*F!$B$60,IF(I239=61%,F239*G239*H239*F!$B$61,IF(I239=62%,F239*G239*H239*F!$B$62,IF(I239=63%,F239*G239*H239*F!$B$63,IF(I239=64%,F239*G239*H239*F!$B$64,IF(I239=65%,F239*G239*H239*F!$B$65,IF(I239=66%,F239*G239*H239*F!$B$66,IF(I239=67%,F239*G239*H239*F!$B$67,IF(I239=68%,F239*G239*H239*F!$B$68,IF(I239=69%,F239*G239*H239*F!$B$69,IF(I239=70%,F239*G239*H239*F!$B$70,IF(I239=71%,F239*G239*H239*F!$B$71,IF(I239=72%,F239*G239*H239*F!$B$72,IF(I239=73%,F239*G239*H239*F!$B$73,IF(I239=74%,F239*G239*H239*F!$B$74,IF(I239=75%,F239*G239*H239*F!$B$75,IF(I239=76%,F239*G239*H239*F!$B$76,IF(I239=77%,F239*G239*H239*F!$B$77,IF(I239=78%,F239*G239*H239*F!$B$78,IF(I239=79%,F239*G239*H239*F!$B$79,IF(I239=80%,F239*G239*H239*F!$B$80,IF(I239=81%,F239*G239*H239*F!$B$81,IF(I239=82%,F239*G239*H239*F!$B$82,IF(I239=83%,F239*G239*H239*F!$B$83,IF(I239=84%,F239*G239*H239*F!$B$84,IF(I239=85%,F239*G239*H239*F!$B$85,IF(I239=86%,F239*G239*H239*F!$B$86,IF(I239=87%,F239*G239*H239*F!$B$87,IF(I239=88%,F239*G239*H239*F!$B$88,IF(I239=89%,F239*G239*H239*F!$B$89,IF(I239=90%,F239*G239*H239*F!$B$90,IF(I239=91%,F239*G239*H239*F!$B$91,IF(I239=92%,F239*G239*H239*F!$B$92,IF(I239=93%,F239*G239*H239*F!$B$93,IF(I239=94%,F239*G239*H239*F!$B$94,IF(I239=95%,F239*G239*H239*F!$B$95,IF(I239=96%,F239*G239*H239*F!$B$96,IF(I239=97%,F239*G239*H239*F!$B$97,IF(I239=98%,F239*G239*H239*F!$B$98,IF(I239=99%,F239*G239*H239*F!$B$99,IF(I239&gt;99%,F239*G239*H239*F!$B$100,))))))))))))))))))))))))))))))))))))))))))))))))))))))))+IF(M239&lt;30%,0,IF(M239&lt;35%,J239*K239*L239*F!$B$33,IF(M239&lt;40%,J239*K239*L239*F!$B$38,IF(M239&lt;45%,J239*K239*L239*F!$B$43,IF(M239&lt;50%,J239*K239*L239*F!$B$48,IF(M239=50%,J239*K239*L239*F!$B$50,IF(M239=51%,J239*K239*L239*F!$B$51,IF(M239=52%,J239*K239*L239*F!$B$52,IF(M239=53%,J239*K239*L239*F!$B$53,IF(M239=54%,J239*K239*L239*F!$B$54,IF(M239=55%,J239*K239*L239*F!$B$55,IF(M239=56%,J239*K239*L239*F!$B$56,IF(M239=57%,J239*K239*L239*F!$B$57,IF(M239=58%,J239*K239*L239*F!$B$58,IF(M239=59%,J239*K239*L239*F!$B$59,IF(M239=60%,J239*K239*L239*F!$B$60,IF(M239=61%,J239*K239*L239*F!$B$61,IF(M239=62%,J239*K239*L239*F!$B$62,IF(M239=63%,J239*K239*L239*F!$B$63,IF(M239=64%,J239*K239*L239*F!$B$64,IF(M239=65%,J239*K239*L239*F!$B$65,IF(M239=66%,J239*K239*L239*F!$B$66,IF(M239=67%,J239*K239*L239*F!$B$67,IF(M239=68%,J239*K239*L239*F!$B$68,IF(M239=69%,J239*K239*L239*F!$B$69,IF(M239=70%,J239*K239*L239*F!$B$70,IF(M239=71%,J239*K239*L239*F!$B$71,IF(M239=72%,J239*K239*L239*F!$B$72,IF(M239=73%,J239*K239*L239*F!$B$73,IF(M239=74%,J239*K239*L239*F!$B$74,IF(M239=75%,J239*K239*L239*F!$B$75,IF(M239=76%,J239*K239*L239*F!$B$76,IF(M239=77%,J239*K239*L239*F!$B$77,IF(M239=78%,J239*K239*L239*F!$B$78,IF(M239=79%,J239*K239*L239*F!$B$79,IF(M239=80%,J239*K239*L239*F!$B$80,IF(M239=81%,J239*K239*L239*F!$B$81,IF(M239=82%,J239*K239*L239*F!$B$82,IF(M239=83%,J239*K239*L239*F!$B$83,IF(M239=84%,J239*K239*L239*F!$B$84,IF(M239=85%,J239*K239*L239*F!$B$85,IF(M239=86%,J239*K239*L239*F!$B$86,IF(M239=87%,J239*K239*L239*F!$B$87,IF(M239=88%,J239*K239*L239*F!$B$88,IF(M239=89%,J239*K239*L239*F!$B$89,IF(M239=90%,J239*K239*L239*F!$B$90,IF(M239=91%,J239*K239*L239*F!$B$91,IF(M239=92%,J239*K239*L239*F!$B$92,IF(M239=93%,J239*K239*L239*F!$B$93,IF(M239=94%,J239*K239*L239*F!$B$94,IF(M239=95%,J239*K239*L239*F!$B$95,IF(M239=96%,J239*K239*L239*F!$B$96,IF(M239=97%,J239*K239*L239*F!$B$97,IF(M239=98%,J239*K239*L239*F!$B$98,IF(M239=99%,J239*K239*L239*F!$B$99,IF(M239&gt;99%,J239*K239*L239*F!$B$100,))))))))))))))))))))))))))))))))))))))))))))))))))))))))+IF(Q239&lt;30%,0,IF(Q239&lt;35%,N239*O239*P239*F!$B$33,IF(Q239&lt;40%,N239*O239*P239*F!$B$38,IF(Q239&lt;45%,N239*O239*P239*F!$B$43,IF(Q239&lt;50%,N239*O239*P239*F!$B$48,IF(Q239=50%,N239*O239*P239*F!$B$50,IF(Q239=51%,N239*O239*P239*F!$B$51,IF(Q239=52%,N239*O239*P239*F!$B$52,IF(Q239=53%,N239*O239*P239*F!$B$53,IF(Q239=54%,N239*O239*P239*F!$B$54,IF(Q239=55%,N239*O239*P239*F!$B$55,IF(Q239=56%,N239*O239*P239*F!$B$56,IF(Q239=57%,N239*O239*P239*F!$B$57,IF(Q239=58%,N239*O239*P239*F!$B$58,IF(Q239=59%,N239*O239*P239*F!$B$59,IF(Q239=60%,N239*O239*P239*F!$B$60,IF(Q239=61%,N239*O239*P239*F!$B$61,IF(Q239=62%,N239*O239*P239*F!$B$62,IF(Q239=63%,N239*O239*P239*F!$B$63,IF(Q239=64%,N239*O239*P239*F!$B$64,IF(Q239=65%,N239*O239*P239*F!$B$65,IF(Q239=66%,N239*O239*P239*F!$B$66,IF(Q239=67%,N239*O239*P239*F!$B$67,IF(Q239=68%,N239*O239*P239*F!$B$68,IF(Q239=69%,N239*O239*P239*F!$B$69,IF(Q239=70%,N239*O239*P239*F!$B$70,IF(Q239=71%,N239*O239*P239*F!$B$71,IF(Q239=72%,N239*O239*P239*F!$B$72,IF(Q239=73%,N239*O239*P239*F!$B$73,IF(Q239=74%,N239*O239*P239*F!$B$74,IF(Q239=75%,N239*O239*P239*F!$B$75,IF(Q239=76%,N239*O239*P239*F!$B$76,IF(Q239=77%,N239*O239*P239*F!$B$77,IF(Q239=78%,N239*O239*P239*F!$B$78,IF(Q239=79%,N239*O239*P239*F!$B$79,IF(Q239=80%,N239*O239*P239*F!$B$80,IF(Q239=81%,N239*O239*P239*F!$B$81,IF(Q239=82%,N239*O239*P239*F!$B$82,IF(Q239=83%,N239*O239*P239*F!$B$83,IF(Q239=84%,N239*O239*P239*F!$B$84,IF(Q239=85%,N239*O239*P239*F!$B$85,IF(Q239=86%,N239*O239*P239*F!$B$86,IF(Q239=87%,N239*O239*P239*F!$B$87,IF(Q239=88%,N239*O239*P239*F!$B$88,IF(Q239=89%,N239*O239*P239*F!$B$89,IF(Q239=90%,N239*O239*P239*F!$B$90,IF(Q239=91%,N239*O239*P239*F!$B$91,IF(Q239=92%,N239*O239*P239*F!$B$92,IF(Q239=93%,N239*O239*P239*F!$B$93,IF(Q239=94%,N239*O239*P239*F!$B$94,IF(Q239=95%,N239*O239*P239*F!$B$95,IF(Q239=96%,N239*O239*P239*F!$B$96,IF(Q239=97%,N239*O239*P239*F!$B$97,IF(Q239=98%,N239*O239*P239*F!$B$98,IF(Q239=99%,N239*O239*P239*F!$B$99,IF(Q239&gt;99%,N239*O239*P239*F!$B$100,))))))))))))))))))))))))))))))))))))))))))))))))))))))))+IF(U239&lt;30%,0,IF(U239&lt;35%,R239*S239*T239*F!$B$33,IF(U239&lt;40%,R239*S239*T239*F!$B$38,IF(U239&lt;45%,R239*S239*T239*F!$B$43,IF(U239&lt;50%,R239*S239*T239*F!$B$48,IF(U239=50%,R239*S239*T239*F!$B$50,IF(U239=51%,R239*S239*T239*F!$B$51,IF(U239=52%,R239*S239*T239*F!$B$52,IF(U239=53%,R239*S239*T239*F!$B$53,IF(U239=54%,R239*S239*T239*F!$B$54,IF(U239=55%,R239*S239*T239*F!$B$55,IF(U239=56%,R239*S239*T239*F!$B$56,IF(U239=57%,R239*S239*T239*F!$B$57,IF(U239=58%,R239*S239*T239*F!$B$58,IF(U239=59%,R239*S239*T239*F!$B$59,IF(U239=60%,R239*S239*T239*F!$B$60,IF(U239=61%,R239*S239*T239*F!$B$61,IF(U239=62%,R239*S239*T239*F!$B$62,IF(U239=63%,R239*S239*T239*F!$B$63,IF(U239=64%,R239*S239*T239*F!$B$64,IF(U239=65%,R239*S239*T239*F!$B$65,IF(U239=66%,R239*S239*T239*F!$B$66,IF(U239=67%,R239*S239*T239*F!$B$67,IF(U239=68%,R239*S239*T239*F!$B$68,IF(U239=69%,R239*S239*T239*F!$B$69,IF(U239=70%,R239*S239*T239*F!$B$70,IF(U239=71%,R239*S239*T239*F!$B$71,IF(U239=72%,R239*S239*T239*F!$B$72,IF(U239=73%,R239*S239*T239*F!$B$73,IF(U239=74%,R239*S239*T239*F!$B$74,IF(U239=75%,R239*S239*T239*F!$B$75,IF(U239=76%,R239*S239*T239*F!$B$76,IF(U239=77%,R239*S239*T239*F!$B$77,IF(U239=78%,R239*S239*T239*F!$B$78,IF(U239=79%,R239*S239*T239*F!$B$79,IF(U239=80%,R239*S239*T239*F!$B$80,IF(U239=81%,R239*S239*T239*F!$B$81,IF(U239=82%,R239*S239*T239*F!$B$82,IF(U239=83%,R239*S239*T239*F!$B$83,IF(U239=84%,R239*S239*T239*F!$B$84,IF(U239=85%,R239*S239*T239*F!$B$85,IF(U239=86%,R239*S239*T239*F!$B$86,IF(U239=87%,R239*S239*T239*F!$B$87,IF(U239=88%,R239*S239*T239*F!$B$88,IF(U239=89%,R239*S239*T239*F!$B$89,IF(U239=90%,R239*S239*T239*F!$B$90,IF(U239=91%,R239*S239*T239*F!$B$91,IF(U239=92%,R239*S239*T239*F!$B$92,IF(U239=93%,R239*S239*T239*F!$B$93,IF(U239=94%,R239*S239*T239*F!$B$94,IF(U239=95%,R239*S239*T239*F!$B$95,IF(U239=96%,R239*S239*T239*F!$B$96,IF(U239=97%,R239*S239*T239*F!$B$97,IF(U239=98%,R239*S239*T239*F!$B$98,IF(U239=99%,R239*S239*T239*F!$B$99,IF(U239&gt;99%,R239*S239*T239*F!$B$100)))))))))))))))))))))))))))))))))))))))))))))))))))))))))*IF(ISNUMBER(E239),E239,1)*IF(ISNUMBER(D239),D239,1)</f>
        <v>#REF!</v>
      </c>
      <c r="AA239" s="32">
        <f t="shared" ref="AA239:AA244" si="598">G239*H239+K239*L239+O239*P239+S239*T239</f>
        <v>46</v>
      </c>
      <c r="AB239" s="38">
        <f t="shared" ref="AB239:AB244" si="599">(H239*(IF(I239&lt;45%,0.5,IF(I239&lt;55%,0.8,IF(I239&lt;65%,0.9,IF(I239&lt;75%,1,IF(I239&lt;85%,1.1,1.2))))))+L239*(IF(M239&lt;45%,0.5,IF(M239&lt;55%,0.8,IF(M239&lt;65%,0.9,IF(M239&lt;75%,1,IF(M239&lt;85%,1.1,1.2))))))+P239*(IF(Q239&lt;45%,0.5,IF(Q239&lt;55%,0.8,IF(Q239&lt;65%,0.9,IF(Q239&lt;75%,1,IF(Q239&lt;85%,1.1,1.2))))))+T239*(IF(U239&lt;45%,0.5,IF(U239&lt;55%,0.8,IF(U239&lt;65%,0.9,IF(U239&lt;75%,1,IF(U239&lt;85%,1.1,1.2)))))))*IF(D239&gt;=0.8,6,IF(D239&lt;=0.4,1.5,3))</f>
        <v>31.2</v>
      </c>
      <c r="AC239" s="9"/>
      <c r="AD239" s="9"/>
      <c r="AE239" s="9"/>
      <c r="AF239" s="112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</row>
    <row r="240" ht="15.0" customHeight="1">
      <c r="A240" s="43">
        <f>A233+2</f>
        <v>42377</v>
      </c>
      <c r="B240" s="131" t="str">
        <f t="shared" ref="B240:C240" si="587">IF(B203="","",B203)</f>
        <v>Легкая</v>
      </c>
      <c r="C240" s="177" t="str">
        <f t="shared" si="587"/>
        <v>Зашагивания на платформу</v>
      </c>
      <c r="D240" s="46">
        <f t="shared" si="588"/>
        <v>1</v>
      </c>
      <c r="E240" s="133" t="str">
        <f t="shared" si="552"/>
        <v/>
      </c>
      <c r="F240" s="48">
        <f t="shared" si="589"/>
        <v>0</v>
      </c>
      <c r="G240" s="49">
        <v>10.0</v>
      </c>
      <c r="H240" s="49">
        <v>4.0</v>
      </c>
      <c r="I240" s="50">
        <v>0.4</v>
      </c>
      <c r="J240" s="48" t="str">
        <f t="shared" si="590"/>
        <v/>
      </c>
      <c r="K240" s="49"/>
      <c r="L240" s="49"/>
      <c r="M240" s="50">
        <v>0.0</v>
      </c>
      <c r="N240" s="48" t="str">
        <f t="shared" si="591"/>
        <v/>
      </c>
      <c r="O240" s="49"/>
      <c r="P240" s="49"/>
      <c r="Q240" s="50">
        <v>0.0</v>
      </c>
      <c r="R240" s="48" t="str">
        <f t="shared" si="592"/>
        <v/>
      </c>
      <c r="S240" s="49"/>
      <c r="T240" s="49"/>
      <c r="U240" s="50">
        <v>0.0</v>
      </c>
      <c r="V240" s="134">
        <f t="shared" si="593"/>
        <v>0</v>
      </c>
      <c r="W240" s="53">
        <f t="shared" si="594"/>
        <v>0</v>
      </c>
      <c r="X240" s="54">
        <f t="shared" si="595"/>
        <v>0</v>
      </c>
      <c r="Y240" s="137">
        <f t="shared" si="596"/>
        <v>0</v>
      </c>
      <c r="Z240" s="53" t="str">
        <f t="shared" si="597"/>
        <v>#REF!</v>
      </c>
      <c r="AA240" s="49">
        <f t="shared" si="598"/>
        <v>40</v>
      </c>
      <c r="AB240" s="56">
        <f t="shared" si="599"/>
        <v>12</v>
      </c>
      <c r="AC240" s="9"/>
      <c r="AD240" s="9"/>
      <c r="AE240" s="9"/>
      <c r="AF240" s="112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</row>
    <row r="241" ht="15.75" customHeight="1">
      <c r="A241" s="57"/>
      <c r="B241" s="135" t="s">
        <v>18</v>
      </c>
      <c r="C241" s="177" t="str">
        <f t="shared" ref="C241:C244" si="600">IF(C204="","",C204)</f>
        <v>Разведение ног</v>
      </c>
      <c r="D241" s="46">
        <f t="shared" si="588"/>
        <v>0.5</v>
      </c>
      <c r="E241" s="133">
        <f t="shared" si="552"/>
        <v>5</v>
      </c>
      <c r="F241" s="59">
        <f t="shared" si="589"/>
        <v>4.2</v>
      </c>
      <c r="G241" s="60">
        <v>12.0</v>
      </c>
      <c r="H241" s="60">
        <v>1.0</v>
      </c>
      <c r="I241" s="61">
        <v>0.4</v>
      </c>
      <c r="J241" s="59">
        <f t="shared" si="590"/>
        <v>5.3</v>
      </c>
      <c r="K241" s="60">
        <v>10.0</v>
      </c>
      <c r="L241" s="60">
        <v>2.0</v>
      </c>
      <c r="M241" s="61">
        <v>0.5</v>
      </c>
      <c r="N241" s="59">
        <f t="shared" si="591"/>
        <v>6.4</v>
      </c>
      <c r="O241" s="60">
        <v>8.0</v>
      </c>
      <c r="P241" s="60">
        <v>2.0</v>
      </c>
      <c r="Q241" s="61">
        <v>0.6</v>
      </c>
      <c r="R241" s="59" t="str">
        <f t="shared" si="592"/>
        <v/>
      </c>
      <c r="S241" s="60"/>
      <c r="T241" s="60"/>
      <c r="U241" s="61">
        <v>0.0</v>
      </c>
      <c r="V241" s="104">
        <f t="shared" si="593"/>
        <v>1294</v>
      </c>
      <c r="W241" s="64">
        <f t="shared" si="594"/>
        <v>26.95833333</v>
      </c>
      <c r="X241" s="65">
        <f t="shared" si="595"/>
        <v>0.51</v>
      </c>
      <c r="Y241" s="137">
        <f t="shared" si="596"/>
        <v>10.61520151</v>
      </c>
      <c r="Z241" s="64" t="str">
        <f t="shared" si="597"/>
        <v>#REF!</v>
      </c>
      <c r="AA241" s="60">
        <f t="shared" si="598"/>
        <v>48</v>
      </c>
      <c r="AB241" s="66">
        <f t="shared" si="599"/>
        <v>11.7</v>
      </c>
      <c r="AC241" s="9"/>
      <c r="AD241" s="9"/>
      <c r="AE241" s="9"/>
      <c r="AF241" s="112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</row>
    <row r="242" ht="15.75" customHeight="1">
      <c r="A242" s="57"/>
      <c r="B242" s="135" t="s">
        <v>20</v>
      </c>
      <c r="C242" s="177" t="str">
        <f t="shared" si="600"/>
        <v>Жим гантелй лежа</v>
      </c>
      <c r="D242" s="46">
        <f t="shared" si="588"/>
        <v>0.4</v>
      </c>
      <c r="E242" s="133">
        <f t="shared" si="552"/>
        <v>2</v>
      </c>
      <c r="F242" s="48">
        <f t="shared" si="589"/>
        <v>5.9</v>
      </c>
      <c r="G242" s="49">
        <v>12.0</v>
      </c>
      <c r="H242" s="49">
        <v>5.0</v>
      </c>
      <c r="I242" s="50">
        <v>0.46</v>
      </c>
      <c r="J242" s="48" t="str">
        <f t="shared" si="590"/>
        <v/>
      </c>
      <c r="K242" s="49"/>
      <c r="L242" s="49"/>
      <c r="M242" s="50">
        <v>0.0</v>
      </c>
      <c r="N242" s="48" t="str">
        <f t="shared" si="591"/>
        <v/>
      </c>
      <c r="O242" s="49"/>
      <c r="P242" s="49"/>
      <c r="Q242" s="50">
        <v>0.0</v>
      </c>
      <c r="R242" s="48" t="str">
        <f t="shared" si="592"/>
        <v/>
      </c>
      <c r="S242" s="49"/>
      <c r="T242" s="49"/>
      <c r="U242" s="50">
        <v>0.0</v>
      </c>
      <c r="V242" s="134">
        <f t="shared" si="593"/>
        <v>708</v>
      </c>
      <c r="W242" s="53">
        <f t="shared" si="594"/>
        <v>11.8</v>
      </c>
      <c r="X242" s="54">
        <f t="shared" si="595"/>
        <v>0.46</v>
      </c>
      <c r="Y242" s="137">
        <f t="shared" si="596"/>
        <v>12.73824181</v>
      </c>
      <c r="Z242" s="53" t="str">
        <f t="shared" si="597"/>
        <v>#REF!</v>
      </c>
      <c r="AA242" s="49">
        <f t="shared" si="598"/>
        <v>60</v>
      </c>
      <c r="AB242" s="56">
        <f t="shared" si="599"/>
        <v>6</v>
      </c>
      <c r="AC242" s="9"/>
      <c r="AD242" s="9"/>
      <c r="AE242" s="9"/>
      <c r="AF242" s="112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</row>
    <row r="243" ht="15.75" customHeight="1">
      <c r="A243" s="57"/>
      <c r="B243" s="135" t="s">
        <v>23</v>
      </c>
      <c r="C243" s="177" t="str">
        <f t="shared" si="600"/>
        <v>Ходьба выпадами</v>
      </c>
      <c r="D243" s="46">
        <f t="shared" si="588"/>
        <v>0.4</v>
      </c>
      <c r="E243" s="133">
        <f t="shared" si="552"/>
        <v>2</v>
      </c>
      <c r="F243" s="59">
        <f t="shared" si="589"/>
        <v>7</v>
      </c>
      <c r="G243" s="60">
        <v>12.0</v>
      </c>
      <c r="H243" s="60">
        <v>1.0</v>
      </c>
      <c r="I243" s="61">
        <v>0.45</v>
      </c>
      <c r="J243" s="59">
        <f t="shared" si="590"/>
        <v>9</v>
      </c>
      <c r="K243" s="60">
        <v>10.0</v>
      </c>
      <c r="L243" s="60">
        <v>3.0</v>
      </c>
      <c r="M243" s="61">
        <v>0.59</v>
      </c>
      <c r="N243" s="59" t="str">
        <f t="shared" si="591"/>
        <v/>
      </c>
      <c r="O243" s="60"/>
      <c r="P243" s="60"/>
      <c r="Q243" s="61">
        <v>0.0</v>
      </c>
      <c r="R243" s="59" t="str">
        <f t="shared" si="592"/>
        <v/>
      </c>
      <c r="S243" s="60"/>
      <c r="T243" s="60"/>
      <c r="U243" s="61">
        <v>0.0</v>
      </c>
      <c r="V243" s="104">
        <f t="shared" si="593"/>
        <v>708</v>
      </c>
      <c r="W243" s="64">
        <f t="shared" si="594"/>
        <v>16.85714286</v>
      </c>
      <c r="X243" s="62">
        <f t="shared" si="595"/>
        <v>0.53</v>
      </c>
      <c r="Y243" s="137">
        <f t="shared" si="596"/>
        <v>15.92280226</v>
      </c>
      <c r="Z243" s="64" t="str">
        <f t="shared" si="597"/>
        <v>#REF!</v>
      </c>
      <c r="AA243" s="60">
        <f t="shared" si="598"/>
        <v>42</v>
      </c>
      <c r="AB243" s="66">
        <f t="shared" si="599"/>
        <v>5.25</v>
      </c>
      <c r="AC243" s="9"/>
      <c r="AD243" s="9"/>
      <c r="AE243" s="9"/>
      <c r="AF243" s="112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</row>
    <row r="244" ht="15.75" customHeight="1">
      <c r="A244" s="57"/>
      <c r="B244" s="135" t="s">
        <v>20</v>
      </c>
      <c r="C244" s="177" t="str">
        <f t="shared" si="600"/>
        <v>Гиперэкстензия на ягодицы</v>
      </c>
      <c r="D244" s="46">
        <f t="shared" si="588"/>
        <v>0.4</v>
      </c>
      <c r="E244" s="133" t="str">
        <f t="shared" si="552"/>
        <v/>
      </c>
      <c r="F244" s="48">
        <f t="shared" si="589"/>
        <v>13</v>
      </c>
      <c r="G244" s="49">
        <v>10.0</v>
      </c>
      <c r="H244" s="49">
        <v>4.0</v>
      </c>
      <c r="I244" s="50">
        <v>0.4</v>
      </c>
      <c r="J244" s="48" t="str">
        <f t="shared" si="590"/>
        <v/>
      </c>
      <c r="K244" s="49"/>
      <c r="L244" s="49"/>
      <c r="M244" s="50">
        <v>0.0</v>
      </c>
      <c r="N244" s="48" t="str">
        <f t="shared" si="591"/>
        <v/>
      </c>
      <c r="O244" s="49"/>
      <c r="P244" s="49"/>
      <c r="Q244" s="50">
        <v>0.0</v>
      </c>
      <c r="R244" s="48" t="str">
        <f t="shared" si="592"/>
        <v/>
      </c>
      <c r="S244" s="49"/>
      <c r="T244" s="49"/>
      <c r="U244" s="50">
        <v>0.0</v>
      </c>
      <c r="V244" s="134">
        <f t="shared" si="593"/>
        <v>520</v>
      </c>
      <c r="W244" s="53">
        <f t="shared" si="594"/>
        <v>13</v>
      </c>
      <c r="X244" s="54">
        <f t="shared" si="595"/>
        <v>0.41</v>
      </c>
      <c r="Y244" s="137">
        <f t="shared" si="596"/>
        <v>31.84560452</v>
      </c>
      <c r="Z244" s="53" t="str">
        <f t="shared" si="597"/>
        <v>#REF!</v>
      </c>
      <c r="AA244" s="49">
        <f t="shared" si="598"/>
        <v>40</v>
      </c>
      <c r="AB244" s="56">
        <f t="shared" si="599"/>
        <v>3</v>
      </c>
      <c r="AC244" s="9"/>
      <c r="AD244" s="9"/>
      <c r="AE244" s="9"/>
      <c r="AF244" s="112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</row>
    <row r="245" ht="15.75" customHeight="1">
      <c r="A245" s="72"/>
      <c r="B245" s="138" t="str">
        <f t="shared" ref="B245:C245" si="601">IF(B208="","",B208)</f>
        <v/>
      </c>
      <c r="C245" s="178" t="str">
        <f t="shared" si="601"/>
        <v>Скручивания (пресс)</v>
      </c>
      <c r="D245" s="75">
        <f>ROUND(IFERROR((D239*(G239*H239+K239*L239+O239*P239+S239*T239)+D240*(G240*H240+K240*L240+O240*P240+S240*T240)+D241*(G241*H241+K241*L241+O241*P241+S241*T241)+D242*(G242*H242+K242*L242+O242*P242+S242*T242)+D243*(G243*H243+K243*L243+O243*P243+S243*T243)+D244*(G244*H244+K244*L244+O244*P244+S244*T244))/((G239*H239+K239*L239+O239*P239+S239*T239)+(G240*H240+K240*L240+O240*P240+S240*T240)+(G241*H241+K241*L241+O241*P241+S241*T241)+(G242*H242+K242*L242+O242*P242+S242*T242)+(G243*H243+K243*L243+O243*P243+S243*T243)+(G244*H244+K244*L244+O244*P244+S244*T244)),0),2)</f>
        <v>0.65</v>
      </c>
      <c r="E245" s="140" t="str">
        <f t="shared" si="552"/>
        <v/>
      </c>
      <c r="F245" s="77"/>
      <c r="G245" s="78"/>
      <c r="H245" s="78"/>
      <c r="I245" s="79"/>
      <c r="J245" s="77"/>
      <c r="K245" s="78"/>
      <c r="L245" s="78"/>
      <c r="M245" s="79"/>
      <c r="N245" s="77"/>
      <c r="O245" s="78"/>
      <c r="P245" s="78"/>
      <c r="Q245" s="79"/>
      <c r="R245" s="77"/>
      <c r="S245" s="78"/>
      <c r="T245" s="78"/>
      <c r="U245" s="79"/>
      <c r="V245" s="125">
        <f>SUM(V239:V244)</f>
        <v>6600</v>
      </c>
      <c r="W245" s="82">
        <f>IFERROR(V245/AA245,0)</f>
        <v>23.91304348</v>
      </c>
      <c r="X245" s="83">
        <f>ROUND(IFERROR(((I239*G239*H239+M239*K239*L239+Q239*O239*P239+U239*S239*T239)+(I240*G240*H240+M240*K240*L240+Q240*O240*P240+U240*S240*T240)+(I241*G241*H241+M241*K241*L241+Q241*O241*P241+U241*S241*T241)+(I242*G242*H242+M242*K242*L242+Q242*O242*P242+U242*S242*T242)+(I243*G243*H243+M243*K243*L243+Q243*O243*P243+U243*S243*T243)+(I244*G244*H244+M244*K244*L244+Q244*O244*P244+U244*S244*T244))/((G239*H239+K239*L239+O239*P239+S239*T239)+(G240*H240+K240*L240+O240*P240+S240*T240)+(G241*H241+K241*L241+O241*P241+S241*T241)+(G242*H242+K242*L242+O242*P242+S242*T242)+(G243*H243+K243*L243+O243*P243+S243*T243)+(G244*H244+K244*L244+O244*P244+S244*T244)),0),3)</f>
        <v>0.502</v>
      </c>
      <c r="Y245" s="84"/>
      <c r="Z245" s="82" t="str">
        <f t="shared" ref="Z245:AA245" si="602">SUM(Z239:Z244)</f>
        <v>#REF!</v>
      </c>
      <c r="AA245" s="85">
        <f t="shared" si="602"/>
        <v>276</v>
      </c>
      <c r="AB245" s="86">
        <f>IF(SUM(AB239:AB244)=0,TIME(,0,),TIME(,SUM(AB239:AB244)+30,))</f>
        <v>0.06875</v>
      </c>
      <c r="AC245" s="9"/>
      <c r="AD245" s="9"/>
      <c r="AE245" s="9"/>
      <c r="AF245" s="112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</row>
    <row r="246" ht="15.75" hidden="1" customHeight="1">
      <c r="A246" s="88" t="s">
        <v>44</v>
      </c>
      <c r="B246" s="89" t="str">
        <f t="shared" ref="B246:C246" si="603">IF(B209="","",B209)</f>
        <v/>
      </c>
      <c r="C246" s="141" t="str">
        <f t="shared" si="603"/>
        <v/>
      </c>
      <c r="D246" s="29" t="str">
        <f t="shared" ref="D246:D251" si="605">D209</f>
        <v/>
      </c>
      <c r="E246" s="91" t="str">
        <f t="shared" si="552"/>
        <v/>
      </c>
      <c r="F246" s="92"/>
      <c r="G246" s="93"/>
      <c r="H246" s="93"/>
      <c r="I246" s="94" t="str">
        <f t="shared" ref="I246:I251" si="606">IFERROR(ROUND(F246/$Y246,2),)</f>
        <v/>
      </c>
      <c r="J246" s="92"/>
      <c r="K246" s="93"/>
      <c r="L246" s="93"/>
      <c r="M246" s="94" t="str">
        <f t="shared" ref="M246:M251" si="607">IFERROR(ROUND(J246/$Y246,2),)</f>
        <v/>
      </c>
      <c r="N246" s="92"/>
      <c r="O246" s="93"/>
      <c r="P246" s="93"/>
      <c r="Q246" s="94" t="str">
        <f t="shared" ref="Q246:Q251" si="608">IFERROR(ROUND(N246/$Y246,2),)</f>
        <v/>
      </c>
      <c r="R246" s="92"/>
      <c r="S246" s="93"/>
      <c r="T246" s="93"/>
      <c r="U246" s="94" t="str">
        <f t="shared" ref="U246:U251" si="609">IFERROR(ROUND(R246/$Y246,2),)</f>
        <v/>
      </c>
      <c r="V246" s="95">
        <f t="shared" ref="V246:V251" si="610">(IF(ISNUMBER(F246),F246,1)*G246*H246+IF(ISNUMBER(J246),J246,1)*K246*L246+IF(ISNUMBER(N246),N246,1)*O246*P246+IF(ISNUMBER(R246),R246,1)*S246*T246)*IF(ISNUMBER(E246),E246,1)</f>
        <v>0</v>
      </c>
      <c r="W246" s="96">
        <f t="shared" ref="W246:W251" si="611">IFERROR((IF(ISNUMBER(F246),F246,1)*G246*H246+IF(ISNUMBER(J246),J246,1)*K246*L246+IF(ISNUMBER(N246),N246,1)*O246*P246+IF(ISNUMBER(R246),R246,1)*S246*T246)*IF(ISNUMBER(E246),E246,1)/(G246*H246+K246*L246+O246*P246+S246*T246),0)</f>
        <v>0</v>
      </c>
      <c r="X246" s="97">
        <f t="shared" ref="X246:X251" si="612">ROUND(IFERROR((W246/(Y246*IF(ISNUMBER(E246),E246,1))),0),2)</f>
        <v>0</v>
      </c>
      <c r="Y246" s="37" t="str">
        <f t="shared" ref="Y246:Y251" si="613">IF(ISNUMBER(Y209), Y209+(Y209*$Y$223),"")</f>
        <v/>
      </c>
      <c r="Z246" s="96">
        <f t="shared" ref="Z246:Z251" si="614">(IF(I246&lt;30%,0,IF(I246&lt;35%,F246*G246*H246*F!$B$33,IF(I246&lt;40%,F246*G246*H246*F!$B$38,IF(I246&lt;45%,F246*G246*H246*F!$B$43,IF(I246&lt;50%,F246*G246*H246*F!$B$48,IF(I246=50%,F246*G246*H246*F!$B$50,IF(I246=51%,F246*G246*H246*F!$B$51,IF(I246=52%,F246*G246*H246*F!$B$52,IF(I246=53%,F246*G246*H246*F!$B$53,IF(I246=54%,F246*G246*H246*F!$B$54,IF(I246=55%,F246*G246*H246*F!$B$55,IF(I246=56%,F246*G246*H246*F!$B$56,IF(I246=57%,F246*G246*H246*F!$B$57,IF(I246=58%,F246*G246*H246*F!$B$58,IF(I246=59%,F246*G246*H246*F!$B$59,IF(I246=60%,F246*G246*H246*F!$B$60,IF(I246=61%,F246*G246*H246*F!$B$61,IF(I246=62%,F246*G246*H246*F!$B$62,IF(I246=63%,F246*G246*H246*F!$B$63,IF(I246=64%,F246*G246*H246*F!$B$64,IF(I246=65%,F246*G246*H246*F!$B$65,IF(I246=66%,F246*G246*H246*F!$B$66,IF(I246=67%,F246*G246*H246*F!$B$67,IF(I246=68%,F246*G246*H246*F!$B$68,IF(I246=69%,F246*G246*H246*F!$B$69,IF(I246=70%,F246*G246*H246*F!$B$70,IF(I246=71%,F246*G246*H246*F!$B$71,IF(I246=72%,F246*G246*H246*F!$B$72,IF(I246=73%,F246*G246*H246*F!$B$73,IF(I246=74%,F246*G246*H246*F!$B$74,IF(I246=75%,F246*G246*H246*F!$B$75,IF(I246=76%,F246*G246*H246*F!$B$76,IF(I246=77%,F246*G246*H246*F!$B$77,IF(I246=78%,F246*G246*H246*F!$B$78,IF(I246=79%,F246*G246*H246*F!$B$79,IF(I246=80%,F246*G246*H246*F!$B$80,IF(I246=81%,F246*G246*H246*F!$B$81,IF(I246=82%,F246*G246*H246*F!$B$82,IF(I246=83%,F246*G246*H246*F!$B$83,IF(I246=84%,F246*G246*H246*F!$B$84,IF(I246=85%,F246*G246*H246*F!$B$85,IF(I246=86%,F246*G246*H246*F!$B$86,IF(I246=87%,F246*G246*H246*F!$B$87,IF(I246=88%,F246*G246*H246*F!$B$88,IF(I246=89%,F246*G246*H246*F!$B$89,IF(I246=90%,F246*G246*H246*F!$B$90,IF(I246=91%,F246*G246*H246*F!$B$91,IF(I246=92%,F246*G246*H246*F!$B$92,IF(I246=93%,F246*G246*H246*F!$B$93,IF(I246=94%,F246*G246*H246*F!$B$94,IF(I246=95%,F246*G246*H246*F!$B$95,IF(I246=96%,F246*G246*H246*F!$B$96,IF(I246=97%,F246*G246*H246*F!$B$97,IF(I246=98%,F246*G246*H246*F!$B$98,IF(I246=99%,F246*G246*H246*F!$B$99,IF(I246&gt;99%,F246*G246*H246*F!$B$100,))))))))))))))))))))))))))))))))))))))))))))))))))))))))+IF(M246&lt;30%,0,IF(M246&lt;35%,J246*K246*L246*F!$B$33,IF(M246&lt;40%,J246*K246*L246*F!$B$38,IF(M246&lt;45%,J246*K246*L246*F!$B$43,IF(M246&lt;50%,J246*K246*L246*F!$B$48,IF(M246=50%,J246*K246*L246*F!$B$50,IF(M246=51%,J246*K246*L246*F!$B$51,IF(M246=52%,J246*K246*L246*F!$B$52,IF(M246=53%,J246*K246*L246*F!$B$53,IF(M246=54%,J246*K246*L246*F!$B$54,IF(M246=55%,J246*K246*L246*F!$B$55,IF(M246=56%,J246*K246*L246*F!$B$56,IF(M246=57%,J246*K246*L246*F!$B$57,IF(M246=58%,J246*K246*L246*F!$B$58,IF(M246=59%,J246*K246*L246*F!$B$59,IF(M246=60%,J246*K246*L246*F!$B$60,IF(M246=61%,J246*K246*L246*F!$B$61,IF(M246=62%,J246*K246*L246*F!$B$62,IF(M246=63%,J246*K246*L246*F!$B$63,IF(M246=64%,J246*K246*L246*F!$B$64,IF(M246=65%,J246*K246*L246*F!$B$65,IF(M246=66%,J246*K246*L246*F!$B$66,IF(M246=67%,J246*K246*L246*F!$B$67,IF(M246=68%,J246*K246*L246*F!$B$68,IF(M246=69%,J246*K246*L246*F!$B$69,IF(M246=70%,J246*K246*L246*F!$B$70,IF(M246=71%,J246*K246*L246*F!$B$71,IF(M246=72%,J246*K246*L246*F!$B$72,IF(M246=73%,J246*K246*L246*F!$B$73,IF(M246=74%,J246*K246*L246*F!$B$74,IF(M246=75%,J246*K246*L246*F!$B$75,IF(M246=76%,J246*K246*L246*F!$B$76,IF(M246=77%,J246*K246*L246*F!$B$77,IF(M246=78%,J246*K246*L246*F!$B$78,IF(M246=79%,J246*K246*L246*F!$B$79,IF(M246=80%,J246*K246*L246*F!$B$80,IF(M246=81%,J246*K246*L246*F!$B$81,IF(M246=82%,J246*K246*L246*F!$B$82,IF(M246=83%,J246*K246*L246*F!$B$83,IF(M246=84%,J246*K246*L246*F!$B$84,IF(M246=85%,J246*K246*L246*F!$B$85,IF(M246=86%,J246*K246*L246*F!$B$86,IF(M246=87%,J246*K246*L246*F!$B$87,IF(M246=88%,J246*K246*L246*F!$B$88,IF(M246=89%,J246*K246*L246*F!$B$89,IF(M246=90%,J246*K246*L246*F!$B$90,IF(M246=91%,J246*K246*L246*F!$B$91,IF(M246=92%,J246*K246*L246*F!$B$92,IF(M246=93%,J246*K246*L246*F!$B$93,IF(M246=94%,J246*K246*L246*F!$B$94,IF(M246=95%,J246*K246*L246*F!$B$95,IF(M246=96%,J246*K246*L246*F!$B$96,IF(M246=97%,J246*K246*L246*F!$B$97,IF(M246=98%,J246*K246*L246*F!$B$98,IF(M246=99%,J246*K246*L246*F!$B$99,IF(M246&gt;99%,J246*K246*L246*F!$B$100,))))))))))))))))))))))))))))))))))))))))))))))))))))))))+IF(Q246&lt;30%,0,IF(Q246&lt;35%,N246*O246*P246*F!$B$33,IF(Q246&lt;40%,N246*O246*P246*F!$B$38,IF(Q246&lt;45%,N246*O246*P246*F!$B$43,IF(Q246&lt;50%,N246*O246*P246*F!$B$48,IF(Q246=50%,N246*O246*P246*F!$B$50,IF(Q246=51%,N246*O246*P246*F!$B$51,IF(Q246=52%,N246*O246*P246*F!$B$52,IF(Q246=53%,N246*O246*P246*F!$B$53,IF(Q246=54%,N246*O246*P246*F!$B$54,IF(Q246=55%,N246*O246*P246*F!$B$55,IF(Q246=56%,N246*O246*P246*F!$B$56,IF(Q246=57%,N246*O246*P246*F!$B$57,IF(Q246=58%,N246*O246*P246*F!$B$58,IF(Q246=59%,N246*O246*P246*F!$B$59,IF(Q246=60%,N246*O246*P246*F!$B$60,IF(Q246=61%,N246*O246*P246*F!$B$61,IF(Q246=62%,N246*O246*P246*F!$B$62,IF(Q246=63%,N246*O246*P246*F!$B$63,IF(Q246=64%,N246*O246*P246*F!$B$64,IF(Q246=65%,N246*O246*P246*F!$B$65,IF(Q246=66%,N246*O246*P246*F!$B$66,IF(Q246=67%,N246*O246*P246*F!$B$67,IF(Q246=68%,N246*O246*P246*F!$B$68,IF(Q246=69%,N246*O246*P246*F!$B$69,IF(Q246=70%,N246*O246*P246*F!$B$70,IF(Q246=71%,N246*O246*P246*F!$B$71,IF(Q246=72%,N246*O246*P246*F!$B$72,IF(Q246=73%,N246*O246*P246*F!$B$73,IF(Q246=74%,N246*O246*P246*F!$B$74,IF(Q246=75%,N246*O246*P246*F!$B$75,IF(Q246=76%,N246*O246*P246*F!$B$76,IF(Q246=77%,N246*O246*P246*F!$B$77,IF(Q246=78%,N246*O246*P246*F!$B$78,IF(Q246=79%,N246*O246*P246*F!$B$79,IF(Q246=80%,N246*O246*P246*F!$B$80,IF(Q246=81%,N246*O246*P246*F!$B$81,IF(Q246=82%,N246*O246*P246*F!$B$82,IF(Q246=83%,N246*O246*P246*F!$B$83,IF(Q246=84%,N246*O246*P246*F!$B$84,IF(Q246=85%,N246*O246*P246*F!$B$85,IF(Q246=86%,N246*O246*P246*F!$B$86,IF(Q246=87%,N246*O246*P246*F!$B$87,IF(Q246=88%,N246*O246*P246*F!$B$88,IF(Q246=89%,N246*O246*P246*F!$B$89,IF(Q246=90%,N246*O246*P246*F!$B$90,IF(Q246=91%,N246*O246*P246*F!$B$91,IF(Q246=92%,N246*O246*P246*F!$B$92,IF(Q246=93%,N246*O246*P246*F!$B$93,IF(Q246=94%,N246*O246*P246*F!$B$94,IF(Q246=95%,N246*O246*P246*F!$B$95,IF(Q246=96%,N246*O246*P246*F!$B$96,IF(Q246=97%,N246*O246*P246*F!$B$97,IF(Q246=98%,N246*O246*P246*F!$B$98,IF(Q246=99%,N246*O246*P246*F!$B$99,IF(Q246&gt;99%,N246*O246*P246*F!$B$100,))))))))))))))))))))))))))))))))))))))))))))))))))))))))+IF(U246&lt;30%,0,IF(U246&lt;35%,R246*S246*T246*F!$B$33,IF(U246&lt;40%,R246*S246*T246*F!$B$38,IF(U246&lt;45%,R246*S246*T246*F!$B$43,IF(U246&lt;50%,R246*S246*T246*F!$B$48,IF(U246=50%,R246*S246*T246*F!$B$50,IF(U246=51%,R246*S246*T246*F!$B$51,IF(U246=52%,R246*S246*T246*F!$B$52,IF(U246=53%,R246*S246*T246*F!$B$53,IF(U246=54%,R246*S246*T246*F!$B$54,IF(U246=55%,R246*S246*T246*F!$B$55,IF(U246=56%,R246*S246*T246*F!$B$56,IF(U246=57%,R246*S246*T246*F!$B$57,IF(U246=58%,R246*S246*T246*F!$B$58,IF(U246=59%,R246*S246*T246*F!$B$59,IF(U246=60%,R246*S246*T246*F!$B$60,IF(U246=61%,R246*S246*T246*F!$B$61,IF(U246=62%,R246*S246*T246*F!$B$62,IF(U246=63%,R246*S246*T246*F!$B$63,IF(U246=64%,R246*S246*T246*F!$B$64,IF(U246=65%,R246*S246*T246*F!$B$65,IF(U246=66%,R246*S246*T246*F!$B$66,IF(U246=67%,R246*S246*T246*F!$B$67,IF(U246=68%,R246*S246*T246*F!$B$68,IF(U246=69%,R246*S246*T246*F!$B$69,IF(U246=70%,R246*S246*T246*F!$B$70,IF(U246=71%,R246*S246*T246*F!$B$71,IF(U246=72%,R246*S246*T246*F!$B$72,IF(U246=73%,R246*S246*T246*F!$B$73,IF(U246=74%,R246*S246*T246*F!$B$74,IF(U246=75%,R246*S246*T246*F!$B$75,IF(U246=76%,R246*S246*T246*F!$B$76,IF(U246=77%,R246*S246*T246*F!$B$77,IF(U246=78%,R246*S246*T246*F!$B$78,IF(U246=79%,R246*S246*T246*F!$B$79,IF(U246=80%,R246*S246*T246*F!$B$80,IF(U246=81%,R246*S246*T246*F!$B$81,IF(U246=82%,R246*S246*T246*F!$B$82,IF(U246=83%,R246*S246*T246*F!$B$83,IF(U246=84%,R246*S246*T246*F!$B$84,IF(U246=85%,R246*S246*T246*F!$B$85,IF(U246=86%,R246*S246*T246*F!$B$86,IF(U246=87%,R246*S246*T246*F!$B$87,IF(U246=88%,R246*S246*T246*F!$B$88,IF(U246=89%,R246*S246*T246*F!$B$89,IF(U246=90%,R246*S246*T246*F!$B$90,IF(U246=91%,R246*S246*T246*F!$B$91,IF(U246=92%,R246*S246*T246*F!$B$92,IF(U246=93%,R246*S246*T246*F!$B$93,IF(U246=94%,R246*S246*T246*F!$B$94,IF(U246=95%,R246*S246*T246*F!$B$95,IF(U246=96%,R246*S246*T246*F!$B$96,IF(U246=97%,R246*S246*T246*F!$B$97,IF(U246=98%,R246*S246*T246*F!$B$98,IF(U246=99%,R246*S246*T246*F!$B$99,IF(U246&gt;99%,R246*S246*T246*F!$B$100)))))))))))))))))))))))))))))))))))))))))))))))))))))))))*IF(ISNUMBER(E246),E246,1)*IF(ISNUMBER(D246),D246,1)</f>
        <v>0</v>
      </c>
      <c r="AA246" s="93">
        <f t="shared" ref="AA246:AA251" si="615">G246*H246+K246*L246+O246*P246+S246*T246</f>
        <v>0</v>
      </c>
      <c r="AB246" s="99">
        <f t="shared" ref="AB246:AB251" si="616">(H246*(IF(I246&lt;45%,0.5,IF(I246&lt;55%,0.8,IF(I246&lt;65%,0.9,IF(I246&lt;75%,1,IF(I246&lt;85%,1.1,1.2))))))+L246*(IF(M246&lt;45%,0.5,IF(M246&lt;55%,0.8,IF(M246&lt;65%,0.9,IF(M246&lt;75%,1,IF(M246&lt;85%,1.1,1.2))))))+P246*(IF(Q246&lt;45%,0.5,IF(Q246&lt;55%,0.8,IF(Q246&lt;65%,0.9,IF(Q246&lt;75%,1,IF(Q246&lt;85%,1.1,1.2))))))+T246*(IF(U246&lt;45%,0.5,IF(U246&lt;55%,0.8,IF(U246&lt;65%,0.9,IF(U246&lt;75%,1,IF(U246&lt;85%,1.1,1.2)))))))*IF(D246&gt;=0.8,6,IF(D246&lt;=0.4,1.5,3))</f>
        <v>0</v>
      </c>
      <c r="AC246" s="9"/>
      <c r="AD246" s="9"/>
      <c r="AE246" s="9"/>
      <c r="AF246" s="112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</row>
    <row r="247" ht="15.0" hidden="1" customHeight="1">
      <c r="A247" s="142">
        <f>A240+1</f>
        <v>42378</v>
      </c>
      <c r="B247" s="101" t="str">
        <f t="shared" ref="B247:C247" si="604">IF(B210="","",B210)</f>
        <v/>
      </c>
      <c r="C247" s="143" t="str">
        <f t="shared" si="604"/>
        <v/>
      </c>
      <c r="D247" s="46" t="str">
        <f t="shared" si="605"/>
        <v/>
      </c>
      <c r="E247" s="144" t="str">
        <f t="shared" si="552"/>
        <v/>
      </c>
      <c r="F247" s="59"/>
      <c r="G247" s="60"/>
      <c r="H247" s="60"/>
      <c r="I247" s="61" t="str">
        <f t="shared" si="606"/>
        <v/>
      </c>
      <c r="J247" s="59"/>
      <c r="K247" s="60"/>
      <c r="L247" s="60"/>
      <c r="M247" s="61" t="str">
        <f t="shared" si="607"/>
        <v/>
      </c>
      <c r="N247" s="59"/>
      <c r="O247" s="60"/>
      <c r="P247" s="60"/>
      <c r="Q247" s="61" t="str">
        <f t="shared" si="608"/>
        <v/>
      </c>
      <c r="R247" s="59"/>
      <c r="S247" s="60"/>
      <c r="T247" s="60"/>
      <c r="U247" s="61" t="str">
        <f t="shared" si="609"/>
        <v/>
      </c>
      <c r="V247" s="104">
        <f t="shared" si="610"/>
        <v>0</v>
      </c>
      <c r="W247" s="64">
        <f t="shared" si="611"/>
        <v>0</v>
      </c>
      <c r="X247" s="65">
        <f t="shared" si="612"/>
        <v>0</v>
      </c>
      <c r="Y247" s="137" t="str">
        <f t="shared" si="613"/>
        <v/>
      </c>
      <c r="Z247" s="64">
        <f t="shared" si="614"/>
        <v>0</v>
      </c>
      <c r="AA247" s="60">
        <f t="shared" si="615"/>
        <v>0</v>
      </c>
      <c r="AB247" s="66">
        <f t="shared" si="616"/>
        <v>0</v>
      </c>
      <c r="AC247" s="9"/>
      <c r="AD247" s="9"/>
      <c r="AE247" s="9"/>
      <c r="AF247" s="112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</row>
    <row r="248" ht="15.75" hidden="1" customHeight="1">
      <c r="A248" s="57"/>
      <c r="B248" s="101" t="str">
        <f t="shared" ref="B248:C248" si="617">IF(B211="","",B211)</f>
        <v/>
      </c>
      <c r="C248" s="143" t="str">
        <f t="shared" si="617"/>
        <v/>
      </c>
      <c r="D248" s="46" t="str">
        <f t="shared" si="605"/>
        <v/>
      </c>
      <c r="E248" s="144" t="str">
        <f t="shared" si="552"/>
        <v/>
      </c>
      <c r="F248" s="105"/>
      <c r="G248" s="106"/>
      <c r="H248" s="106"/>
      <c r="I248" s="107" t="str">
        <f t="shared" si="606"/>
        <v/>
      </c>
      <c r="J248" s="105"/>
      <c r="K248" s="106"/>
      <c r="L248" s="106"/>
      <c r="M248" s="107" t="str">
        <f t="shared" si="607"/>
        <v/>
      </c>
      <c r="N248" s="105"/>
      <c r="O248" s="106"/>
      <c r="P248" s="106"/>
      <c r="Q248" s="107" t="str">
        <f t="shared" si="608"/>
        <v/>
      </c>
      <c r="R248" s="105"/>
      <c r="S248" s="106"/>
      <c r="T248" s="106"/>
      <c r="U248" s="107" t="str">
        <f t="shared" si="609"/>
        <v/>
      </c>
      <c r="V248" s="108">
        <f t="shared" si="610"/>
        <v>0</v>
      </c>
      <c r="W248" s="109">
        <f t="shared" si="611"/>
        <v>0</v>
      </c>
      <c r="X248" s="110">
        <f t="shared" si="612"/>
        <v>0</v>
      </c>
      <c r="Y248" s="137" t="str">
        <f t="shared" si="613"/>
        <v/>
      </c>
      <c r="Z248" s="109">
        <f t="shared" si="614"/>
        <v>0</v>
      </c>
      <c r="AA248" s="106">
        <f t="shared" si="615"/>
        <v>0</v>
      </c>
      <c r="AB248" s="111">
        <f t="shared" si="616"/>
        <v>0</v>
      </c>
      <c r="AC248" s="9"/>
      <c r="AD248" s="9"/>
      <c r="AE248" s="9"/>
      <c r="AF248" s="112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</row>
    <row r="249" ht="15.75" hidden="1" customHeight="1">
      <c r="A249" s="57"/>
      <c r="B249" s="101" t="str">
        <f t="shared" ref="B249:C249" si="618">IF(B212="","",B212)</f>
        <v/>
      </c>
      <c r="C249" s="143" t="str">
        <f t="shared" si="618"/>
        <v/>
      </c>
      <c r="D249" s="46" t="str">
        <f t="shared" si="605"/>
        <v/>
      </c>
      <c r="E249" s="144" t="str">
        <f t="shared" si="552"/>
        <v/>
      </c>
      <c r="F249" s="59"/>
      <c r="G249" s="60"/>
      <c r="H249" s="60"/>
      <c r="I249" s="61" t="str">
        <f t="shared" si="606"/>
        <v/>
      </c>
      <c r="J249" s="59"/>
      <c r="K249" s="60"/>
      <c r="L249" s="60"/>
      <c r="M249" s="61" t="str">
        <f t="shared" si="607"/>
        <v/>
      </c>
      <c r="N249" s="59"/>
      <c r="O249" s="60"/>
      <c r="P249" s="60"/>
      <c r="Q249" s="61" t="str">
        <f t="shared" si="608"/>
        <v/>
      </c>
      <c r="R249" s="59"/>
      <c r="S249" s="60"/>
      <c r="T249" s="60"/>
      <c r="U249" s="61" t="str">
        <f t="shared" si="609"/>
        <v/>
      </c>
      <c r="V249" s="104">
        <f t="shared" si="610"/>
        <v>0</v>
      </c>
      <c r="W249" s="64">
        <f t="shared" si="611"/>
        <v>0</v>
      </c>
      <c r="X249" s="65">
        <f t="shared" si="612"/>
        <v>0</v>
      </c>
      <c r="Y249" s="137" t="str">
        <f t="shared" si="613"/>
        <v/>
      </c>
      <c r="Z249" s="64">
        <f t="shared" si="614"/>
        <v>0</v>
      </c>
      <c r="AA249" s="60">
        <f t="shared" si="615"/>
        <v>0</v>
      </c>
      <c r="AB249" s="66">
        <f t="shared" si="616"/>
        <v>0</v>
      </c>
      <c r="AC249" s="9"/>
      <c r="AD249" s="9"/>
      <c r="AE249" s="9"/>
      <c r="AF249" s="112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</row>
    <row r="250" ht="15.75" hidden="1" customHeight="1">
      <c r="A250" s="57"/>
      <c r="B250" s="101" t="str">
        <f t="shared" ref="B250:C250" si="619">IF(B213="","",B213)</f>
        <v/>
      </c>
      <c r="C250" s="143" t="str">
        <f t="shared" si="619"/>
        <v/>
      </c>
      <c r="D250" s="46" t="str">
        <f t="shared" si="605"/>
        <v/>
      </c>
      <c r="E250" s="144" t="str">
        <f t="shared" si="552"/>
        <v/>
      </c>
      <c r="F250" s="105"/>
      <c r="G250" s="106"/>
      <c r="H250" s="106"/>
      <c r="I250" s="107" t="str">
        <f t="shared" si="606"/>
        <v/>
      </c>
      <c r="J250" s="105"/>
      <c r="K250" s="106"/>
      <c r="L250" s="106"/>
      <c r="M250" s="107" t="str">
        <f t="shared" si="607"/>
        <v/>
      </c>
      <c r="N250" s="105"/>
      <c r="O250" s="106"/>
      <c r="P250" s="106"/>
      <c r="Q250" s="107" t="str">
        <f t="shared" si="608"/>
        <v/>
      </c>
      <c r="R250" s="105"/>
      <c r="S250" s="106"/>
      <c r="T250" s="106"/>
      <c r="U250" s="107" t="str">
        <f t="shared" si="609"/>
        <v/>
      </c>
      <c r="V250" s="108">
        <f t="shared" si="610"/>
        <v>0</v>
      </c>
      <c r="W250" s="109">
        <f t="shared" si="611"/>
        <v>0</v>
      </c>
      <c r="X250" s="117">
        <f t="shared" si="612"/>
        <v>0</v>
      </c>
      <c r="Y250" s="137" t="str">
        <f t="shared" si="613"/>
        <v/>
      </c>
      <c r="Z250" s="109">
        <f t="shared" si="614"/>
        <v>0</v>
      </c>
      <c r="AA250" s="106">
        <f t="shared" si="615"/>
        <v>0</v>
      </c>
      <c r="AB250" s="111">
        <f t="shared" si="616"/>
        <v>0</v>
      </c>
      <c r="AC250" s="9"/>
      <c r="AD250" s="9"/>
      <c r="AE250" s="9"/>
      <c r="AF250" s="112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</row>
    <row r="251" ht="15.75" hidden="1" customHeight="1">
      <c r="A251" s="57"/>
      <c r="B251" s="101" t="str">
        <f t="shared" ref="B251:C251" si="620">IF(B214="","",B214)</f>
        <v/>
      </c>
      <c r="C251" s="143" t="str">
        <f t="shared" si="620"/>
        <v/>
      </c>
      <c r="D251" s="46" t="str">
        <f t="shared" si="605"/>
        <v/>
      </c>
      <c r="E251" s="144" t="str">
        <f t="shared" si="552"/>
        <v/>
      </c>
      <c r="F251" s="59"/>
      <c r="G251" s="60"/>
      <c r="H251" s="60"/>
      <c r="I251" s="61" t="str">
        <f t="shared" si="606"/>
        <v/>
      </c>
      <c r="J251" s="59"/>
      <c r="K251" s="60"/>
      <c r="L251" s="60"/>
      <c r="M251" s="61" t="str">
        <f t="shared" si="607"/>
        <v/>
      </c>
      <c r="N251" s="59"/>
      <c r="O251" s="60"/>
      <c r="P251" s="60"/>
      <c r="Q251" s="61" t="str">
        <f t="shared" si="608"/>
        <v/>
      </c>
      <c r="R251" s="59"/>
      <c r="S251" s="60"/>
      <c r="T251" s="60"/>
      <c r="U251" s="61" t="str">
        <f t="shared" si="609"/>
        <v/>
      </c>
      <c r="V251" s="104">
        <f t="shared" si="610"/>
        <v>0</v>
      </c>
      <c r="W251" s="64">
        <f t="shared" si="611"/>
        <v>0</v>
      </c>
      <c r="X251" s="65">
        <f t="shared" si="612"/>
        <v>0</v>
      </c>
      <c r="Y251" s="137" t="str">
        <f t="shared" si="613"/>
        <v/>
      </c>
      <c r="Z251" s="64">
        <f t="shared" si="614"/>
        <v>0</v>
      </c>
      <c r="AA251" s="60">
        <f t="shared" si="615"/>
        <v>0</v>
      </c>
      <c r="AB251" s="66">
        <f t="shared" si="616"/>
        <v>0</v>
      </c>
      <c r="AC251" s="9"/>
      <c r="AD251" s="9"/>
      <c r="AE251" s="9"/>
      <c r="AF251" s="112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</row>
    <row r="252" ht="15.75" hidden="1" customHeight="1">
      <c r="A252" s="72"/>
      <c r="B252" s="119" t="str">
        <f t="shared" ref="B252:C252" si="621">IF(B215="","",B215)</f>
        <v/>
      </c>
      <c r="C252" s="146" t="str">
        <f t="shared" si="621"/>
        <v/>
      </c>
      <c r="D252" s="75">
        <f>ROUND(IFERROR((D246*(G246*H246+K246*L246+O246*P246+S246*T246)+D247*(G247*H247+K247*L247+O247*P247+S247*T247)+D248*(G248*H248+K248*L248+O248*P248+S248*T248)+D249*(G249*H249+K249*L249+O249*P249+S249*T249)+D250*(G250*H250+K250*L250+O250*P250+S250*T250)+D251*(G251*H251+K251*L251+O251*P251+S251*T251))/((G246*H246+K246*L246+O246*P246+S246*T246)+(G247*H247+K247*L247+O247*P247+S247*T247)+(G248*H248+K248*L248+O248*P248+S248*T248)+(G249*H249+K249*L249+O249*P249+S249*T249)+(G250*H250+K250*L250+O250*P250+S250*T250)+(G251*H251+K251*L251+O251*P251+S251*T251)),0),2)</f>
        <v>0</v>
      </c>
      <c r="E252" s="147" t="str">
        <f t="shared" si="552"/>
        <v/>
      </c>
      <c r="F252" s="122"/>
      <c r="G252" s="123"/>
      <c r="H252" s="123"/>
      <c r="I252" s="124"/>
      <c r="J252" s="122"/>
      <c r="K252" s="123"/>
      <c r="L252" s="123"/>
      <c r="M252" s="124"/>
      <c r="N252" s="122"/>
      <c r="O252" s="123"/>
      <c r="P252" s="123"/>
      <c r="Q252" s="124"/>
      <c r="R252" s="122"/>
      <c r="S252" s="123"/>
      <c r="T252" s="123"/>
      <c r="U252" s="124"/>
      <c r="V252" s="125">
        <f>SUM(V246:V251)</f>
        <v>0</v>
      </c>
      <c r="W252" s="82">
        <f>IFERROR(V252/AA252,0)</f>
        <v>0</v>
      </c>
      <c r="X252" s="83">
        <f>ROUND(IFERROR(((I246*G246*H246+M246*K246*L246+Q246*O246*P246+U246*S246*T246)+(I247*G247*H247+M247*K247*L247+Q247*O247*P247+U247*S247*T247)+(I248*G248*H248+M248*K248*L248+Q248*O248*P248+U248*S248*T248)+(I249*G249*H249+M249*K249*L249+Q249*O249*P249+U249*S249*T249)+(I250*G250*H250+M250*K250*L250+Q250*O250*P250+U250*S250*T250)+(I251*G251*H251+M251*K251*L251+Q251*O251*P251+U251*S251*T251))/((G246*H246+K246*L246+O246*P246+S246*T246)+(G247*H247+K247*L247+O247*P247+S247*T247)+(G248*H248+K248*L248+O248*P248+S248*T248)+(G249*H249+K249*L249+O249*P249+S249*T249)+(G250*H250+K250*L250+O250*P250+S250*T250)+(G251*H251+K251*L251+O251*P251+S251*T251)),0),3)</f>
        <v>0</v>
      </c>
      <c r="Y252" s="84"/>
      <c r="Z252" s="82">
        <f t="shared" ref="Z252:AA252" si="622">SUM(Z246:Z251)</f>
        <v>0</v>
      </c>
      <c r="AA252" s="85">
        <f t="shared" si="622"/>
        <v>0</v>
      </c>
      <c r="AB252" s="86">
        <f>IF(SUM(AB246:AB251)=0,TIME(,0,),TIME(,SUM(AB246:AB251)+30,))</f>
        <v>0</v>
      </c>
      <c r="AC252" s="9"/>
      <c r="AD252" s="9"/>
      <c r="AE252" s="9"/>
      <c r="AF252" s="112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</row>
    <row r="253" ht="15.75" hidden="1" customHeight="1">
      <c r="A253" s="126" t="s">
        <v>36</v>
      </c>
      <c r="B253" s="27" t="str">
        <f t="shared" ref="B253:C253" si="623">IF(B216="","",B216)</f>
        <v/>
      </c>
      <c r="C253" s="148" t="str">
        <f t="shared" si="623"/>
        <v/>
      </c>
      <c r="D253" s="29" t="str">
        <f t="shared" ref="D253:D258" si="625">D216</f>
        <v/>
      </c>
      <c r="E253" s="30" t="str">
        <f t="shared" si="552"/>
        <v/>
      </c>
      <c r="F253" s="31"/>
      <c r="G253" s="32"/>
      <c r="H253" s="32"/>
      <c r="I253" s="33" t="str">
        <f t="shared" ref="I253:I258" si="626">IFERROR(ROUND(F253/$Y253,2),)</f>
        <v/>
      </c>
      <c r="J253" s="31"/>
      <c r="K253" s="32"/>
      <c r="L253" s="32"/>
      <c r="M253" s="33" t="str">
        <f t="shared" ref="M253:M258" si="627">IFERROR(ROUND(J253/$Y253,2),)</f>
        <v/>
      </c>
      <c r="N253" s="31"/>
      <c r="O253" s="32"/>
      <c r="P253" s="32"/>
      <c r="Q253" s="33" t="str">
        <f t="shared" ref="Q253:Q258" si="628">IFERROR(ROUND(N253/$Y253,2),)</f>
        <v/>
      </c>
      <c r="R253" s="31"/>
      <c r="S253" s="32"/>
      <c r="T253" s="32"/>
      <c r="U253" s="33" t="str">
        <f t="shared" ref="U253:U258" si="629">IFERROR(ROUND(R253/$Y253,2),)</f>
        <v/>
      </c>
      <c r="V253" s="130">
        <f t="shared" ref="V253:V258" si="630">(IF(ISNUMBER(F253),F253,1)*G253*H253+IF(ISNUMBER(J253),J253,1)*K253*L253+IF(ISNUMBER(N253),N253,1)*O253*P253+IF(ISNUMBER(R253),R253,1)*S253*T253)*IF(ISNUMBER(E253),E253,1)</f>
        <v>0</v>
      </c>
      <c r="W253" s="36">
        <f t="shared" ref="W253:W258" si="631">IFERROR((IF(ISNUMBER(F253),F253,1)*G253*H253+IF(ISNUMBER(J253),J253,1)*K253*L253+IF(ISNUMBER(N253),N253,1)*O253*P253+IF(ISNUMBER(R253),R253,1)*S253*T253)*IF(ISNUMBER(E253),E253,1)/(G253*H253+K253*L253+O253*P253+S253*T253),0)</f>
        <v>0</v>
      </c>
      <c r="X253" s="34">
        <f t="shared" ref="X253:X258" si="632">ROUND(IFERROR((W253/(Y253*IF(ISNUMBER(E253),E253,1))),0),2)</f>
        <v>0</v>
      </c>
      <c r="Y253" s="37" t="str">
        <f t="shared" ref="Y253:Y258" si="633">IF(ISNUMBER(Y216), Y216+(Y216*$Y$223),"")</f>
        <v/>
      </c>
      <c r="Z253" s="36">
        <f t="shared" ref="Z253:Z258" si="634">(IF(I253&lt;30%,0,IF(I253&lt;35%,F253*G253*H253*F!$B$33,IF(I253&lt;40%,F253*G253*H253*F!$B$38,IF(I253&lt;45%,F253*G253*H253*F!$B$43,IF(I253&lt;50%,F253*G253*H253*F!$B$48,IF(I253=50%,F253*G253*H253*F!$B$50,IF(I253=51%,F253*G253*H253*F!$B$51,IF(I253=52%,F253*G253*H253*F!$B$52,IF(I253=53%,F253*G253*H253*F!$B$53,IF(I253=54%,F253*G253*H253*F!$B$54,IF(I253=55%,F253*G253*H253*F!$B$55,IF(I253=56%,F253*G253*H253*F!$B$56,IF(I253=57%,F253*G253*H253*F!$B$57,IF(I253=58%,F253*G253*H253*F!$B$58,IF(I253=59%,F253*G253*H253*F!$B$59,IF(I253=60%,F253*G253*H253*F!$B$60,IF(I253=61%,F253*G253*H253*F!$B$61,IF(I253=62%,F253*G253*H253*F!$B$62,IF(I253=63%,F253*G253*H253*F!$B$63,IF(I253=64%,F253*G253*H253*F!$B$64,IF(I253=65%,F253*G253*H253*F!$B$65,IF(I253=66%,F253*G253*H253*F!$B$66,IF(I253=67%,F253*G253*H253*F!$B$67,IF(I253=68%,F253*G253*H253*F!$B$68,IF(I253=69%,F253*G253*H253*F!$B$69,IF(I253=70%,F253*G253*H253*F!$B$70,IF(I253=71%,F253*G253*H253*F!$B$71,IF(I253=72%,F253*G253*H253*F!$B$72,IF(I253=73%,F253*G253*H253*F!$B$73,IF(I253=74%,F253*G253*H253*F!$B$74,IF(I253=75%,F253*G253*H253*F!$B$75,IF(I253=76%,F253*G253*H253*F!$B$76,IF(I253=77%,F253*G253*H253*F!$B$77,IF(I253=78%,F253*G253*H253*F!$B$78,IF(I253=79%,F253*G253*H253*F!$B$79,IF(I253=80%,F253*G253*H253*F!$B$80,IF(I253=81%,F253*G253*H253*F!$B$81,IF(I253=82%,F253*G253*H253*F!$B$82,IF(I253=83%,F253*G253*H253*F!$B$83,IF(I253=84%,F253*G253*H253*F!$B$84,IF(I253=85%,F253*G253*H253*F!$B$85,IF(I253=86%,F253*G253*H253*F!$B$86,IF(I253=87%,F253*G253*H253*F!$B$87,IF(I253=88%,F253*G253*H253*F!$B$88,IF(I253=89%,F253*G253*H253*F!$B$89,IF(I253=90%,F253*G253*H253*F!$B$90,IF(I253=91%,F253*G253*H253*F!$B$91,IF(I253=92%,F253*G253*H253*F!$B$92,IF(I253=93%,F253*G253*H253*F!$B$93,IF(I253=94%,F253*G253*H253*F!$B$94,IF(I253=95%,F253*G253*H253*F!$B$95,IF(I253=96%,F253*G253*H253*F!$B$96,IF(I253=97%,F253*G253*H253*F!$B$97,IF(I253=98%,F253*G253*H253*F!$B$98,IF(I253=99%,F253*G253*H253*F!$B$99,IF(I253&gt;99%,F253*G253*H253*F!$B$100,))))))))))))))))))))))))))))))))))))))))))))))))))))))))+IF(M253&lt;30%,0,IF(M253&lt;35%,J253*K253*L253*F!$B$33,IF(M253&lt;40%,J253*K253*L253*F!$B$38,IF(M253&lt;45%,J253*K253*L253*F!$B$43,IF(M253&lt;50%,J253*K253*L253*F!$B$48,IF(M253=50%,J253*K253*L253*F!$B$50,IF(M253=51%,J253*K253*L253*F!$B$51,IF(M253=52%,J253*K253*L253*F!$B$52,IF(M253=53%,J253*K253*L253*F!$B$53,IF(M253=54%,J253*K253*L253*F!$B$54,IF(M253=55%,J253*K253*L253*F!$B$55,IF(M253=56%,J253*K253*L253*F!$B$56,IF(M253=57%,J253*K253*L253*F!$B$57,IF(M253=58%,J253*K253*L253*F!$B$58,IF(M253=59%,J253*K253*L253*F!$B$59,IF(M253=60%,J253*K253*L253*F!$B$60,IF(M253=61%,J253*K253*L253*F!$B$61,IF(M253=62%,J253*K253*L253*F!$B$62,IF(M253=63%,J253*K253*L253*F!$B$63,IF(M253=64%,J253*K253*L253*F!$B$64,IF(M253=65%,J253*K253*L253*F!$B$65,IF(M253=66%,J253*K253*L253*F!$B$66,IF(M253=67%,J253*K253*L253*F!$B$67,IF(M253=68%,J253*K253*L253*F!$B$68,IF(M253=69%,J253*K253*L253*F!$B$69,IF(M253=70%,J253*K253*L253*F!$B$70,IF(M253=71%,J253*K253*L253*F!$B$71,IF(M253=72%,J253*K253*L253*F!$B$72,IF(M253=73%,J253*K253*L253*F!$B$73,IF(M253=74%,J253*K253*L253*F!$B$74,IF(M253=75%,J253*K253*L253*F!$B$75,IF(M253=76%,J253*K253*L253*F!$B$76,IF(M253=77%,J253*K253*L253*F!$B$77,IF(M253=78%,J253*K253*L253*F!$B$78,IF(M253=79%,J253*K253*L253*F!$B$79,IF(M253=80%,J253*K253*L253*F!$B$80,IF(M253=81%,J253*K253*L253*F!$B$81,IF(M253=82%,J253*K253*L253*F!$B$82,IF(M253=83%,J253*K253*L253*F!$B$83,IF(M253=84%,J253*K253*L253*F!$B$84,IF(M253=85%,J253*K253*L253*F!$B$85,IF(M253=86%,J253*K253*L253*F!$B$86,IF(M253=87%,J253*K253*L253*F!$B$87,IF(M253=88%,J253*K253*L253*F!$B$88,IF(M253=89%,J253*K253*L253*F!$B$89,IF(M253=90%,J253*K253*L253*F!$B$90,IF(M253=91%,J253*K253*L253*F!$B$91,IF(M253=92%,J253*K253*L253*F!$B$92,IF(M253=93%,J253*K253*L253*F!$B$93,IF(M253=94%,J253*K253*L253*F!$B$94,IF(M253=95%,J253*K253*L253*F!$B$95,IF(M253=96%,J253*K253*L253*F!$B$96,IF(M253=97%,J253*K253*L253*F!$B$97,IF(M253=98%,J253*K253*L253*F!$B$98,IF(M253=99%,J253*K253*L253*F!$B$99,IF(M253&gt;99%,J253*K253*L253*F!$B$100,))))))))))))))))))))))))))))))))))))))))))))))))))))))))+IF(Q253&lt;30%,0,IF(Q253&lt;35%,N253*O253*P253*F!$B$33,IF(Q253&lt;40%,N253*O253*P253*F!$B$38,IF(Q253&lt;45%,N253*O253*P253*F!$B$43,IF(Q253&lt;50%,N253*O253*P253*F!$B$48,IF(Q253=50%,N253*O253*P253*F!$B$50,IF(Q253=51%,N253*O253*P253*F!$B$51,IF(Q253=52%,N253*O253*P253*F!$B$52,IF(Q253=53%,N253*O253*P253*F!$B$53,IF(Q253=54%,N253*O253*P253*F!$B$54,IF(Q253=55%,N253*O253*P253*F!$B$55,IF(Q253=56%,N253*O253*P253*F!$B$56,IF(Q253=57%,N253*O253*P253*F!$B$57,IF(Q253=58%,N253*O253*P253*F!$B$58,IF(Q253=59%,N253*O253*P253*F!$B$59,IF(Q253=60%,N253*O253*P253*F!$B$60,IF(Q253=61%,N253*O253*P253*F!$B$61,IF(Q253=62%,N253*O253*P253*F!$B$62,IF(Q253=63%,N253*O253*P253*F!$B$63,IF(Q253=64%,N253*O253*P253*F!$B$64,IF(Q253=65%,N253*O253*P253*F!$B$65,IF(Q253=66%,N253*O253*P253*F!$B$66,IF(Q253=67%,N253*O253*P253*F!$B$67,IF(Q253=68%,N253*O253*P253*F!$B$68,IF(Q253=69%,N253*O253*P253*F!$B$69,IF(Q253=70%,N253*O253*P253*F!$B$70,IF(Q253=71%,N253*O253*P253*F!$B$71,IF(Q253=72%,N253*O253*P253*F!$B$72,IF(Q253=73%,N253*O253*P253*F!$B$73,IF(Q253=74%,N253*O253*P253*F!$B$74,IF(Q253=75%,N253*O253*P253*F!$B$75,IF(Q253=76%,N253*O253*P253*F!$B$76,IF(Q253=77%,N253*O253*P253*F!$B$77,IF(Q253=78%,N253*O253*P253*F!$B$78,IF(Q253=79%,N253*O253*P253*F!$B$79,IF(Q253=80%,N253*O253*P253*F!$B$80,IF(Q253=81%,N253*O253*P253*F!$B$81,IF(Q253=82%,N253*O253*P253*F!$B$82,IF(Q253=83%,N253*O253*P253*F!$B$83,IF(Q253=84%,N253*O253*P253*F!$B$84,IF(Q253=85%,N253*O253*P253*F!$B$85,IF(Q253=86%,N253*O253*P253*F!$B$86,IF(Q253=87%,N253*O253*P253*F!$B$87,IF(Q253=88%,N253*O253*P253*F!$B$88,IF(Q253=89%,N253*O253*P253*F!$B$89,IF(Q253=90%,N253*O253*P253*F!$B$90,IF(Q253=91%,N253*O253*P253*F!$B$91,IF(Q253=92%,N253*O253*P253*F!$B$92,IF(Q253=93%,N253*O253*P253*F!$B$93,IF(Q253=94%,N253*O253*P253*F!$B$94,IF(Q253=95%,N253*O253*P253*F!$B$95,IF(Q253=96%,N253*O253*P253*F!$B$96,IF(Q253=97%,N253*O253*P253*F!$B$97,IF(Q253=98%,N253*O253*P253*F!$B$98,IF(Q253=99%,N253*O253*P253*F!$B$99,IF(Q253&gt;99%,N253*O253*P253*F!$B$100,))))))))))))))))))))))))))))))))))))))))))))))))))))))))+IF(U253&lt;30%,0,IF(U253&lt;35%,R253*S253*T253*F!$B$33,IF(U253&lt;40%,R253*S253*T253*F!$B$38,IF(U253&lt;45%,R253*S253*T253*F!$B$43,IF(U253&lt;50%,R253*S253*T253*F!$B$48,IF(U253=50%,R253*S253*T253*F!$B$50,IF(U253=51%,R253*S253*T253*F!$B$51,IF(U253=52%,R253*S253*T253*F!$B$52,IF(U253=53%,R253*S253*T253*F!$B$53,IF(U253=54%,R253*S253*T253*F!$B$54,IF(U253=55%,R253*S253*T253*F!$B$55,IF(U253=56%,R253*S253*T253*F!$B$56,IF(U253=57%,R253*S253*T253*F!$B$57,IF(U253=58%,R253*S253*T253*F!$B$58,IF(U253=59%,R253*S253*T253*F!$B$59,IF(U253=60%,R253*S253*T253*F!$B$60,IF(U253=61%,R253*S253*T253*F!$B$61,IF(U253=62%,R253*S253*T253*F!$B$62,IF(U253=63%,R253*S253*T253*F!$B$63,IF(U253=64%,R253*S253*T253*F!$B$64,IF(U253=65%,R253*S253*T253*F!$B$65,IF(U253=66%,R253*S253*T253*F!$B$66,IF(U253=67%,R253*S253*T253*F!$B$67,IF(U253=68%,R253*S253*T253*F!$B$68,IF(U253=69%,R253*S253*T253*F!$B$69,IF(U253=70%,R253*S253*T253*F!$B$70,IF(U253=71%,R253*S253*T253*F!$B$71,IF(U253=72%,R253*S253*T253*F!$B$72,IF(U253=73%,R253*S253*T253*F!$B$73,IF(U253=74%,R253*S253*T253*F!$B$74,IF(U253=75%,R253*S253*T253*F!$B$75,IF(U253=76%,R253*S253*T253*F!$B$76,IF(U253=77%,R253*S253*T253*F!$B$77,IF(U253=78%,R253*S253*T253*F!$B$78,IF(U253=79%,R253*S253*T253*F!$B$79,IF(U253=80%,R253*S253*T253*F!$B$80,IF(U253=81%,R253*S253*T253*F!$B$81,IF(U253=82%,R253*S253*T253*F!$B$82,IF(U253=83%,R253*S253*T253*F!$B$83,IF(U253=84%,R253*S253*T253*F!$B$84,IF(U253=85%,R253*S253*T253*F!$B$85,IF(U253=86%,R253*S253*T253*F!$B$86,IF(U253=87%,R253*S253*T253*F!$B$87,IF(U253=88%,R253*S253*T253*F!$B$88,IF(U253=89%,R253*S253*T253*F!$B$89,IF(U253=90%,R253*S253*T253*F!$B$90,IF(U253=91%,R253*S253*T253*F!$B$91,IF(U253=92%,R253*S253*T253*F!$B$92,IF(U253=93%,R253*S253*T253*F!$B$93,IF(U253=94%,R253*S253*T253*F!$B$94,IF(U253=95%,R253*S253*T253*F!$B$95,IF(U253=96%,R253*S253*T253*F!$B$96,IF(U253=97%,R253*S253*T253*F!$B$97,IF(U253=98%,R253*S253*T253*F!$B$98,IF(U253=99%,R253*S253*T253*F!$B$99,IF(U253&gt;99%,R253*S253*T253*F!$B$100)))))))))))))))))))))))))))))))))))))))))))))))))))))))))*IF(ISNUMBER(E253),E253,1)*IF(ISNUMBER(D253),D253,1)</f>
        <v>0</v>
      </c>
      <c r="AA253" s="32">
        <f t="shared" ref="AA253:AA258" si="635">G253*H253+K253*L253+O253*P253+S253*T253</f>
        <v>0</v>
      </c>
      <c r="AB253" s="38">
        <f t="shared" ref="AB253:AB258" si="636">(H253*(IF(I253&lt;45%,0.5,IF(I253&lt;55%,0.8,IF(I253&lt;65%,0.9,IF(I253&lt;75%,1,IF(I253&lt;85%,1.1,1.2))))))+L253*(IF(M253&lt;45%,0.5,IF(M253&lt;55%,0.8,IF(M253&lt;65%,0.9,IF(M253&lt;75%,1,IF(M253&lt;85%,1.1,1.2))))))+P253*(IF(Q253&lt;45%,0.5,IF(Q253&lt;55%,0.8,IF(Q253&lt;65%,0.9,IF(Q253&lt;75%,1,IF(Q253&lt;85%,1.1,1.2))))))+T253*(IF(U253&lt;45%,0.5,IF(U253&lt;55%,0.8,IF(U253&lt;65%,0.9,IF(U253&lt;75%,1,IF(U253&lt;85%,1.1,1.2)))))))*IF(D253&gt;=0.8,6,IF(D253&lt;=0.4,1.5,3))</f>
        <v>0</v>
      </c>
      <c r="AC253" s="9"/>
      <c r="AD253" s="9"/>
      <c r="AE253" s="9"/>
      <c r="AF253" s="112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</row>
    <row r="254" ht="15.0" hidden="1" customHeight="1">
      <c r="A254" s="142">
        <f>A247+1</f>
        <v>42379</v>
      </c>
      <c r="B254" s="44" t="str">
        <f t="shared" ref="B254:C254" si="624">IF(B217="","",B217)</f>
        <v/>
      </c>
      <c r="C254" s="149" t="str">
        <f t="shared" si="624"/>
        <v/>
      </c>
      <c r="D254" s="46" t="str">
        <f t="shared" si="625"/>
        <v/>
      </c>
      <c r="E254" s="47" t="str">
        <f t="shared" si="552"/>
        <v/>
      </c>
      <c r="F254" s="48"/>
      <c r="G254" s="49"/>
      <c r="H254" s="49"/>
      <c r="I254" s="50" t="str">
        <f t="shared" si="626"/>
        <v/>
      </c>
      <c r="J254" s="48"/>
      <c r="K254" s="49"/>
      <c r="L254" s="49"/>
      <c r="M254" s="50" t="str">
        <f t="shared" si="627"/>
        <v/>
      </c>
      <c r="N254" s="48"/>
      <c r="O254" s="49"/>
      <c r="P254" s="49"/>
      <c r="Q254" s="50" t="str">
        <f t="shared" si="628"/>
        <v/>
      </c>
      <c r="R254" s="48"/>
      <c r="S254" s="49"/>
      <c r="T254" s="49"/>
      <c r="U254" s="50" t="str">
        <f t="shared" si="629"/>
        <v/>
      </c>
      <c r="V254" s="134">
        <f t="shared" si="630"/>
        <v>0</v>
      </c>
      <c r="W254" s="53">
        <f t="shared" si="631"/>
        <v>0</v>
      </c>
      <c r="X254" s="54">
        <f t="shared" si="632"/>
        <v>0</v>
      </c>
      <c r="Y254" s="137" t="str">
        <f t="shared" si="633"/>
        <v/>
      </c>
      <c r="Z254" s="53">
        <f t="shared" si="634"/>
        <v>0</v>
      </c>
      <c r="AA254" s="49">
        <f t="shared" si="635"/>
        <v>0</v>
      </c>
      <c r="AB254" s="56">
        <f t="shared" si="636"/>
        <v>0</v>
      </c>
      <c r="AC254" s="9"/>
      <c r="AD254" s="9"/>
      <c r="AE254" s="9"/>
      <c r="AF254" s="112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</row>
    <row r="255" ht="15.75" hidden="1" customHeight="1">
      <c r="A255" s="57"/>
      <c r="B255" s="44" t="str">
        <f t="shared" ref="B255:C255" si="637">IF(B218="","",B218)</f>
        <v/>
      </c>
      <c r="C255" s="149" t="str">
        <f t="shared" si="637"/>
        <v/>
      </c>
      <c r="D255" s="46" t="str">
        <f t="shared" si="625"/>
        <v/>
      </c>
      <c r="E255" s="47" t="str">
        <f t="shared" si="552"/>
        <v/>
      </c>
      <c r="F255" s="59"/>
      <c r="G255" s="60"/>
      <c r="H255" s="60"/>
      <c r="I255" s="61" t="str">
        <f t="shared" si="626"/>
        <v/>
      </c>
      <c r="J255" s="59"/>
      <c r="K255" s="60"/>
      <c r="L255" s="60"/>
      <c r="M255" s="61" t="str">
        <f t="shared" si="627"/>
        <v/>
      </c>
      <c r="N255" s="59"/>
      <c r="O255" s="60"/>
      <c r="P255" s="60"/>
      <c r="Q255" s="61" t="str">
        <f t="shared" si="628"/>
        <v/>
      </c>
      <c r="R255" s="59"/>
      <c r="S255" s="60"/>
      <c r="T255" s="60"/>
      <c r="U255" s="61" t="str">
        <f t="shared" si="629"/>
        <v/>
      </c>
      <c r="V255" s="104">
        <f t="shared" si="630"/>
        <v>0</v>
      </c>
      <c r="W255" s="64">
        <f t="shared" si="631"/>
        <v>0</v>
      </c>
      <c r="X255" s="65">
        <f t="shared" si="632"/>
        <v>0</v>
      </c>
      <c r="Y255" s="137" t="str">
        <f t="shared" si="633"/>
        <v/>
      </c>
      <c r="Z255" s="64">
        <f t="shared" si="634"/>
        <v>0</v>
      </c>
      <c r="AA255" s="60">
        <f t="shared" si="635"/>
        <v>0</v>
      </c>
      <c r="AB255" s="66">
        <f t="shared" si="636"/>
        <v>0</v>
      </c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</row>
    <row r="256" ht="15.75" hidden="1" customHeight="1">
      <c r="A256" s="57"/>
      <c r="B256" s="44" t="str">
        <f t="shared" ref="B256:C256" si="638">IF(B219="","",B219)</f>
        <v/>
      </c>
      <c r="C256" s="149" t="str">
        <f t="shared" si="638"/>
        <v/>
      </c>
      <c r="D256" s="46" t="str">
        <f t="shared" si="625"/>
        <v/>
      </c>
      <c r="E256" s="47" t="str">
        <f t="shared" si="552"/>
        <v/>
      </c>
      <c r="F256" s="48"/>
      <c r="G256" s="49"/>
      <c r="H256" s="49"/>
      <c r="I256" s="50" t="str">
        <f t="shared" si="626"/>
        <v/>
      </c>
      <c r="J256" s="48"/>
      <c r="K256" s="49"/>
      <c r="L256" s="49"/>
      <c r="M256" s="50" t="str">
        <f t="shared" si="627"/>
        <v/>
      </c>
      <c r="N256" s="48"/>
      <c r="O256" s="49"/>
      <c r="P256" s="49"/>
      <c r="Q256" s="50" t="str">
        <f t="shared" si="628"/>
        <v/>
      </c>
      <c r="R256" s="48"/>
      <c r="S256" s="49"/>
      <c r="T256" s="49"/>
      <c r="U256" s="50" t="str">
        <f t="shared" si="629"/>
        <v/>
      </c>
      <c r="V256" s="134">
        <f t="shared" si="630"/>
        <v>0</v>
      </c>
      <c r="W256" s="53">
        <f t="shared" si="631"/>
        <v>0</v>
      </c>
      <c r="X256" s="54">
        <f t="shared" si="632"/>
        <v>0</v>
      </c>
      <c r="Y256" s="137" t="str">
        <f t="shared" si="633"/>
        <v/>
      </c>
      <c r="Z256" s="53">
        <f t="shared" si="634"/>
        <v>0</v>
      </c>
      <c r="AA256" s="49">
        <f t="shared" si="635"/>
        <v>0</v>
      </c>
      <c r="AB256" s="56">
        <f t="shared" si="636"/>
        <v>0</v>
      </c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</row>
    <row r="257" ht="15.75" hidden="1" customHeight="1">
      <c r="A257" s="57"/>
      <c r="B257" s="44" t="str">
        <f t="shared" ref="B257:C257" si="639">IF(B220="","",B220)</f>
        <v/>
      </c>
      <c r="C257" s="149" t="str">
        <f t="shared" si="639"/>
        <v/>
      </c>
      <c r="D257" s="46" t="str">
        <f t="shared" si="625"/>
        <v/>
      </c>
      <c r="E257" s="47" t="str">
        <f t="shared" si="552"/>
        <v/>
      </c>
      <c r="F257" s="59"/>
      <c r="G257" s="60"/>
      <c r="H257" s="60"/>
      <c r="I257" s="61" t="str">
        <f t="shared" si="626"/>
        <v/>
      </c>
      <c r="J257" s="59"/>
      <c r="K257" s="60"/>
      <c r="L257" s="60"/>
      <c r="M257" s="61" t="str">
        <f t="shared" si="627"/>
        <v/>
      </c>
      <c r="N257" s="59"/>
      <c r="O257" s="60"/>
      <c r="P257" s="60"/>
      <c r="Q257" s="61" t="str">
        <f t="shared" si="628"/>
        <v/>
      </c>
      <c r="R257" s="59"/>
      <c r="S257" s="60"/>
      <c r="T257" s="60"/>
      <c r="U257" s="61" t="str">
        <f t="shared" si="629"/>
        <v/>
      </c>
      <c r="V257" s="104">
        <f t="shared" si="630"/>
        <v>0</v>
      </c>
      <c r="W257" s="64">
        <f t="shared" si="631"/>
        <v>0</v>
      </c>
      <c r="X257" s="62">
        <f t="shared" si="632"/>
        <v>0</v>
      </c>
      <c r="Y257" s="137" t="str">
        <f t="shared" si="633"/>
        <v/>
      </c>
      <c r="Z257" s="64">
        <f t="shared" si="634"/>
        <v>0</v>
      </c>
      <c r="AA257" s="60">
        <f t="shared" si="635"/>
        <v>0</v>
      </c>
      <c r="AB257" s="66">
        <f t="shared" si="636"/>
        <v>0</v>
      </c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</row>
    <row r="258" ht="15.75" hidden="1" customHeight="1">
      <c r="A258" s="57"/>
      <c r="B258" s="44" t="str">
        <f t="shared" ref="B258:C258" si="640">IF(B221="","",B221)</f>
        <v/>
      </c>
      <c r="C258" s="149" t="str">
        <f t="shared" si="640"/>
        <v/>
      </c>
      <c r="D258" s="46" t="str">
        <f t="shared" si="625"/>
        <v/>
      </c>
      <c r="E258" s="47" t="str">
        <f t="shared" si="552"/>
        <v/>
      </c>
      <c r="F258" s="48"/>
      <c r="G258" s="49"/>
      <c r="H258" s="49"/>
      <c r="I258" s="50" t="str">
        <f t="shared" si="626"/>
        <v/>
      </c>
      <c r="J258" s="48"/>
      <c r="K258" s="49"/>
      <c r="L258" s="49"/>
      <c r="M258" s="50" t="str">
        <f t="shared" si="627"/>
        <v/>
      </c>
      <c r="N258" s="48"/>
      <c r="O258" s="49"/>
      <c r="P258" s="49"/>
      <c r="Q258" s="50" t="str">
        <f t="shared" si="628"/>
        <v/>
      </c>
      <c r="R258" s="48"/>
      <c r="S258" s="49"/>
      <c r="T258" s="49"/>
      <c r="U258" s="50" t="str">
        <f t="shared" si="629"/>
        <v/>
      </c>
      <c r="V258" s="134">
        <f t="shared" si="630"/>
        <v>0</v>
      </c>
      <c r="W258" s="53">
        <f t="shared" si="631"/>
        <v>0</v>
      </c>
      <c r="X258" s="54">
        <f t="shared" si="632"/>
        <v>0</v>
      </c>
      <c r="Y258" s="137" t="str">
        <f t="shared" si="633"/>
        <v/>
      </c>
      <c r="Z258" s="53">
        <f t="shared" si="634"/>
        <v>0</v>
      </c>
      <c r="AA258" s="49">
        <f t="shared" si="635"/>
        <v>0</v>
      </c>
      <c r="AB258" s="56">
        <f t="shared" si="636"/>
        <v>0</v>
      </c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</row>
    <row r="259" ht="15.75" hidden="1" customHeight="1">
      <c r="A259" s="72"/>
      <c r="B259" s="73" t="str">
        <f t="shared" ref="B259:C259" si="641">IF(B222="","",B222)</f>
        <v/>
      </c>
      <c r="C259" s="150" t="str">
        <f t="shared" si="641"/>
        <v/>
      </c>
      <c r="D259" s="75">
        <f>ROUND(IFERROR((D253*(G253*H253+K253*L253+O253*P253+S253*T253)+D254*(G254*H254+K254*L254+O254*P254+S254*T254)+D255*(G255*H255+K255*L255+O255*P255+S255*T255)+D256*(G256*H256+K256*L256+O256*P256+S256*T256)+D257*(G257*H257+K257*L257+O257*P257+S257*T257)+D258*(G258*H258+K258*L258+O258*P258+S258*T258))/((G253*H253+K253*L253+O253*P253+S253*T253)+(G254*H254+K254*L254+O254*P254+S254*T254)+(G255*H255+K255*L255+O255*P255+S255*T255)+(G256*H256+K256*L256+O256*P256+S256*T256)+(G257*H257+K257*L257+O257*P257+S257*T257)+(G258*H258+K258*L258+O258*P258+S258*T258)),0),2)</f>
        <v>0</v>
      </c>
      <c r="E259" s="76" t="str">
        <f t="shared" si="552"/>
        <v/>
      </c>
      <c r="F259" s="77"/>
      <c r="G259" s="78"/>
      <c r="H259" s="78"/>
      <c r="I259" s="79"/>
      <c r="J259" s="77"/>
      <c r="K259" s="78"/>
      <c r="L259" s="78"/>
      <c r="M259" s="79"/>
      <c r="N259" s="77"/>
      <c r="O259" s="78"/>
      <c r="P259" s="78"/>
      <c r="Q259" s="79"/>
      <c r="R259" s="77"/>
      <c r="S259" s="78"/>
      <c r="T259" s="78"/>
      <c r="U259" s="79"/>
      <c r="V259" s="125">
        <f>SUM(V253:V258)</f>
        <v>0</v>
      </c>
      <c r="W259" s="82">
        <f t="shared" ref="W259:W260" si="643">IFERROR(V259/AA259,0)</f>
        <v>0</v>
      </c>
      <c r="X259" s="83">
        <f>ROUND(IFERROR(((I253*G253*H253+M253*K253*L253+Q253*O253*P253+U253*S253*T253)+(I254*G254*H254+M254*K254*L254+Q254*O254*P254+U254*S254*T254)+(I255*G255*H255+M255*K255*L255+Q255*O255*P255+U255*S255*T255)+(I256*G256*H256+M256*K256*L256+Q256*O256*P256+U256*S256*T256)+(I257*G257*H257+M257*K257*L257+Q257*O257*P257+U257*S257*T257)+(I258*G258*H258+M258*K258*L258+Q258*O258*P258+U258*S258*T258))/((G253*H253+K253*L253+O253*P253+S253*T253)+(G254*H254+K254*L254+O254*P254+S254*T254)+(G255*H255+K255*L255+O255*P255+S255*T255)+(G256*H256+K256*L256+O256*P256+S256*T256)+(G257*H257+K257*L257+O257*P257+S257*T257)+(G258*H258+K258*L258+O258*P258+S258*T258)),0),3)</f>
        <v>0</v>
      </c>
      <c r="Y259" s="84"/>
      <c r="Z259" s="82">
        <f t="shared" ref="Z259:AA259" si="642">SUM(Z253:Z258)</f>
        <v>0</v>
      </c>
      <c r="AA259" s="85">
        <f t="shared" si="642"/>
        <v>0</v>
      </c>
      <c r="AB259" s="86">
        <f>IF(SUM(AB253:AB258)=0,TIME(,0,),TIME(,SUM(AB253:AB258)+30,))</f>
        <v>0</v>
      </c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</row>
    <row r="260" ht="15.75" customHeight="1">
      <c r="A260" s="151" t="s">
        <v>53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3"/>
      <c r="V260" s="152">
        <f>V268+V275+V282+V289+V296</f>
        <v>16743</v>
      </c>
      <c r="W260" s="153">
        <f t="shared" si="643"/>
        <v>20.34386391</v>
      </c>
      <c r="X260" s="154"/>
      <c r="Y260" s="155">
        <v>0.01</v>
      </c>
      <c r="Z260" s="156" t="str">
        <f t="shared" ref="Z260:AB260" si="644">Z268+Z275+Z282+Z289+Z296</f>
        <v>#REF!</v>
      </c>
      <c r="AA260" s="154">
        <f t="shared" si="644"/>
        <v>823</v>
      </c>
      <c r="AB260" s="157">
        <f t="shared" si="644"/>
        <v>0.2069444444</v>
      </c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</row>
    <row r="261" ht="15.75" customHeight="1">
      <c r="A261" s="15" t="s">
        <v>1</v>
      </c>
      <c r="B261" s="158" t="s">
        <v>2</v>
      </c>
      <c r="C261" s="159" t="s">
        <v>3</v>
      </c>
      <c r="D261" s="160" t="s">
        <v>46</v>
      </c>
      <c r="E261" s="18" t="s">
        <v>5</v>
      </c>
      <c r="F261" s="158" t="s">
        <v>6</v>
      </c>
      <c r="G261" s="158" t="s">
        <v>7</v>
      </c>
      <c r="H261" s="158" t="s">
        <v>8</v>
      </c>
      <c r="I261" s="158" t="s">
        <v>9</v>
      </c>
      <c r="J261" s="158" t="s">
        <v>6</v>
      </c>
      <c r="K261" s="158" t="s">
        <v>7</v>
      </c>
      <c r="L261" s="158" t="s">
        <v>8</v>
      </c>
      <c r="M261" s="158" t="s">
        <v>9</v>
      </c>
      <c r="N261" s="158" t="s">
        <v>6</v>
      </c>
      <c r="O261" s="158" t="s">
        <v>7</v>
      </c>
      <c r="P261" s="158" t="s">
        <v>8</v>
      </c>
      <c r="Q261" s="158" t="s">
        <v>9</v>
      </c>
      <c r="R261" s="158" t="s">
        <v>6</v>
      </c>
      <c r="S261" s="158" t="s">
        <v>7</v>
      </c>
      <c r="T261" s="158" t="s">
        <v>8</v>
      </c>
      <c r="U261" s="158" t="s">
        <v>9</v>
      </c>
      <c r="V261" s="158" t="s">
        <v>10</v>
      </c>
      <c r="W261" s="160" t="s">
        <v>11</v>
      </c>
      <c r="X261" s="160" t="s">
        <v>12</v>
      </c>
      <c r="Y261" s="181" t="s">
        <v>13</v>
      </c>
      <c r="Z261" s="162" t="s">
        <v>14</v>
      </c>
      <c r="AA261" s="158" t="s">
        <v>15</v>
      </c>
      <c r="AB261" s="163" t="s">
        <v>16</v>
      </c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</row>
    <row r="262" ht="15.75" customHeight="1">
      <c r="A262" s="26" t="s">
        <v>17</v>
      </c>
      <c r="B262" s="27" t="s">
        <v>18</v>
      </c>
      <c r="C262" s="148" t="str">
        <f>IF(C225="","",C225)</f>
        <v>Ягодичный мост со штангой</v>
      </c>
      <c r="D262" s="29">
        <f t="shared" ref="D262:D267" si="646">D225</f>
        <v>1</v>
      </c>
      <c r="E262" s="30" t="str">
        <f t="shared" ref="E262:E296" si="647">IF(E225="","",E225)</f>
        <v/>
      </c>
      <c r="F262" s="31">
        <f t="shared" ref="F262:F267" si="648">IF(I262&lt;&gt;0,(IFERROR(IF($Y262&gt;50,MROUND($Y262*I262,2.5),IF($Y262&lt;15,MROUND($Y262*I262,0.1),MROUND($Y262*I262,1))),)),"")</f>
        <v>42.5</v>
      </c>
      <c r="G262" s="32">
        <v>12.0</v>
      </c>
      <c r="H262" s="32">
        <v>1.0</v>
      </c>
      <c r="I262" s="33">
        <v>0.44</v>
      </c>
      <c r="J262" s="31">
        <f t="shared" ref="J262:J267" si="649">IF(M262&lt;&gt;0,(IFERROR(IF($Y262&gt;50,MROUND($Y262*M262,2.5),IF($Y262&lt;15,MROUND($Y262*M262,0.1),MROUND($Y262*M262,1))),)),"")</f>
        <v>50</v>
      </c>
      <c r="K262" s="32">
        <v>10.0</v>
      </c>
      <c r="L262" s="32">
        <v>4.0</v>
      </c>
      <c r="M262" s="33">
        <v>0.52</v>
      </c>
      <c r="N262" s="31" t="str">
        <f t="shared" ref="N262:N267" si="650">IF(Q262&lt;&gt;0,(IFERROR(IF($Y262&gt;50,MROUND($Y262*Q262,2.5),IF($Y262&lt;15,MROUND($Y262*Q262,0.1),MROUND($Y262*Q262,1))),)),"")</f>
        <v/>
      </c>
      <c r="O262" s="32"/>
      <c r="P262" s="32"/>
      <c r="Q262" s="33">
        <v>0.0</v>
      </c>
      <c r="R262" s="31" t="str">
        <f t="shared" ref="R262:R267" si="651">IF(U262&lt;&gt;0,(IFERROR(IF($Y262&gt;50,MROUND($Y262*U262,2.5),IF($Y262&lt;15,MROUND($Y262*U262,0.1),MROUND($Y262*U262,1))),)),"")</f>
        <v/>
      </c>
      <c r="S262" s="32"/>
      <c r="T262" s="32"/>
      <c r="U262" s="34">
        <v>0.0</v>
      </c>
      <c r="V262" s="35">
        <f t="shared" ref="V262:V267" si="652">(IF(ISNUMBER(F262),F262,1)*G262*H262+IF(ISNUMBER(J262),J262,1)*K262*L262+IF(ISNUMBER(N262),N262,1)*O262*P262+IF(ISNUMBER(R262),R262,1)*S262*T262)*IF(ISNUMBER(E262),E262,1)</f>
        <v>2510</v>
      </c>
      <c r="W262" s="36">
        <f t="shared" ref="W262:W267" si="653">IFERROR((IF(ISNUMBER(F262),F262,1)*G262*H262+IF(ISNUMBER(J262),J262,1)*K262*L262+IF(ISNUMBER(N262),N262,1)*O262*P262+IF(ISNUMBER(R262),R262,1)*S262*T262)*IF(ISNUMBER(E262),E262,1)/(G262*H262+K262*L262+O262*P262+S262*T262),0)</f>
        <v>48.26923077</v>
      </c>
      <c r="X262" s="34">
        <f t="shared" ref="X262:X267" si="654">ROUND(IFERROR((W262/(Y262*IF(ISNUMBER(E262),E262,1))),0),2)</f>
        <v>0.5</v>
      </c>
      <c r="Y262" s="37">
        <f t="shared" ref="Y262:Y267" si="655">IF(ISNUMBER(Y225), Y225+(Y225*$Y$260),"")</f>
        <v>96.49218169</v>
      </c>
      <c r="Z262" s="36" t="str">
        <f t="shared" ref="Z262:Z267" si="656">(IF(I262&lt;30%,0,IF(I262&lt;35%,F262*G262*H262*F!$B$33,IF(I262&lt;40%,F262*G262*H262*F!$B$38,IF(I262&lt;45%,F262*G262*H262*F!$B$43,IF(I262&lt;50%,F262*G262*H262*F!$B$48,IF(I262=50%,F262*G262*H262*F!$B$50,IF(I262=51%,F262*G262*H262*F!$B$51,IF(I262=52%,F262*G262*H262*F!$B$52,IF(I262=53%,F262*G262*H262*F!$B$53,IF(I262=54%,F262*G262*H262*F!$B$54,IF(I262=55%,F262*G262*H262*F!$B$55,IF(I262=56%,F262*G262*H262*F!$B$56,IF(I262=57%,F262*G262*H262*F!$B$57,IF(I262=58%,F262*G262*H262*F!$B$58,IF(I262=59%,F262*G262*H262*F!$B$59,IF(I262=60%,F262*G262*H262*F!$B$60,IF(I262=61%,F262*G262*H262*F!$B$61,IF(I262=62%,F262*G262*H262*F!$B$62,IF(I262=63%,F262*G262*H262*F!$B$63,IF(I262=64%,F262*G262*H262*F!$B$64,IF(I262=65%,F262*G262*H262*F!$B$65,IF(I262=66%,F262*G262*H262*F!$B$66,IF(I262=67%,F262*G262*H262*F!$B$67,IF(I262=68%,F262*G262*H262*F!$B$68,IF(I262=69%,F262*G262*H262*F!$B$69,IF(I262=70%,F262*G262*H262*F!$B$70,IF(I262=71%,F262*G262*H262*F!$B$71,IF(I262=72%,F262*G262*H262*F!$B$72,IF(I262=73%,F262*G262*H262*F!$B$73,IF(I262=74%,F262*G262*H262*F!$B$74,IF(I262=75%,F262*G262*H262*F!$B$75,IF(I262=76%,F262*G262*H262*F!$B$76,IF(I262=77%,F262*G262*H262*F!$B$77,IF(I262=78%,F262*G262*H262*F!$B$78,IF(I262=79%,F262*G262*H262*F!$B$79,IF(I262=80%,F262*G262*H262*F!$B$80,IF(I262=81%,F262*G262*H262*F!$B$81,IF(I262=82%,F262*G262*H262*F!$B$82,IF(I262=83%,F262*G262*H262*F!$B$83,IF(I262=84%,F262*G262*H262*F!$B$84,IF(I262=85%,F262*G262*H262*F!$B$85,IF(I262=86%,F262*G262*H262*F!$B$86,IF(I262=87%,F262*G262*H262*F!$B$87,IF(I262=88%,F262*G262*H262*F!$B$88,IF(I262=89%,F262*G262*H262*F!$B$89,IF(I262=90%,F262*G262*H262*F!$B$90,IF(I262=91%,F262*G262*H262*F!$B$91,IF(I262=92%,F262*G262*H262*F!$B$92,IF(I262=93%,F262*G262*H262*F!$B$93,IF(I262=94%,F262*G262*H262*F!$B$94,IF(I262=95%,F262*G262*H262*F!$B$95,IF(I262=96%,F262*G262*H262*F!$B$96,IF(I262=97%,F262*G262*H262*F!$B$97,IF(I262=98%,F262*G262*H262*F!$B$98,IF(I262=99%,F262*G262*H262*F!$B$99,IF(I262&gt;99%,F262*G262*H262*F!$B$100,))))))))))))))))))))))))))))))))))))))))))))))))))))))))+IF(M262&lt;30%,0,IF(M262&lt;35%,J262*K262*L262*F!$B$33,IF(M262&lt;40%,J262*K262*L262*F!$B$38,IF(M262&lt;45%,J262*K262*L262*F!$B$43,IF(M262&lt;50%,J262*K262*L262*F!$B$48,IF(M262=50%,J262*K262*L262*F!$B$50,IF(M262=51%,J262*K262*L262*F!$B$51,IF(M262=52%,J262*K262*L262*F!$B$52,IF(M262=53%,J262*K262*L262*F!$B$53,IF(M262=54%,J262*K262*L262*F!$B$54,IF(M262=55%,J262*K262*L262*F!$B$55,IF(M262=56%,J262*K262*L262*F!$B$56,IF(M262=57%,J262*K262*L262*F!$B$57,IF(M262=58%,J262*K262*L262*F!$B$58,IF(M262=59%,J262*K262*L262*F!$B$59,IF(M262=60%,J262*K262*L262*F!$B$60,IF(M262=61%,J262*K262*L262*F!$B$61,IF(M262=62%,J262*K262*L262*F!$B$62,IF(M262=63%,J262*K262*L262*F!$B$63,IF(M262=64%,J262*K262*L262*F!$B$64,IF(M262=65%,J262*K262*L262*F!$B$65,IF(M262=66%,J262*K262*L262*F!$B$66,IF(M262=67%,J262*K262*L262*F!$B$67,IF(M262=68%,J262*K262*L262*F!$B$68,IF(M262=69%,J262*K262*L262*F!$B$69,IF(M262=70%,J262*K262*L262*F!$B$70,IF(M262=71%,J262*K262*L262*F!$B$71,IF(M262=72%,J262*K262*L262*F!$B$72,IF(M262=73%,J262*K262*L262*F!$B$73,IF(M262=74%,J262*K262*L262*F!$B$74,IF(M262=75%,J262*K262*L262*F!$B$75,IF(M262=76%,J262*K262*L262*F!$B$76,IF(M262=77%,J262*K262*L262*F!$B$77,IF(M262=78%,J262*K262*L262*F!$B$78,IF(M262=79%,J262*K262*L262*F!$B$79,IF(M262=80%,J262*K262*L262*F!$B$80,IF(M262=81%,J262*K262*L262*F!$B$81,IF(M262=82%,J262*K262*L262*F!$B$82,IF(M262=83%,J262*K262*L262*F!$B$83,IF(M262=84%,J262*K262*L262*F!$B$84,IF(M262=85%,J262*K262*L262*F!$B$85,IF(M262=86%,J262*K262*L262*F!$B$86,IF(M262=87%,J262*K262*L262*F!$B$87,IF(M262=88%,J262*K262*L262*F!$B$88,IF(M262=89%,J262*K262*L262*F!$B$89,IF(M262=90%,J262*K262*L262*F!$B$90,IF(M262=91%,J262*K262*L262*F!$B$91,IF(M262=92%,J262*K262*L262*F!$B$92,IF(M262=93%,J262*K262*L262*F!$B$93,IF(M262=94%,J262*K262*L262*F!$B$94,IF(M262=95%,J262*K262*L262*F!$B$95,IF(M262=96%,J262*K262*L262*F!$B$96,IF(M262=97%,J262*K262*L262*F!$B$97,IF(M262=98%,J262*K262*L262*F!$B$98,IF(M262=99%,J262*K262*L262*F!$B$99,IF(M262&gt;99%,J262*K262*L262*F!$B$100,))))))))))))))))))))))))))))))))))))))))))))))))))))))))+IF(Q262&lt;30%,0,IF(Q262&lt;35%,N262*O262*P262*F!$B$33,IF(Q262&lt;40%,N262*O262*P262*F!$B$38,IF(Q262&lt;45%,N262*O262*P262*F!$B$43,IF(Q262&lt;50%,N262*O262*P262*F!$B$48,IF(Q262=50%,N262*O262*P262*F!$B$50,IF(Q262=51%,N262*O262*P262*F!$B$51,IF(Q262=52%,N262*O262*P262*F!$B$52,IF(Q262=53%,N262*O262*P262*F!$B$53,IF(Q262=54%,N262*O262*P262*F!$B$54,IF(Q262=55%,N262*O262*P262*F!$B$55,IF(Q262=56%,N262*O262*P262*F!$B$56,IF(Q262=57%,N262*O262*P262*F!$B$57,IF(Q262=58%,N262*O262*P262*F!$B$58,IF(Q262=59%,N262*O262*P262*F!$B$59,IF(Q262=60%,N262*O262*P262*F!$B$60,IF(Q262=61%,N262*O262*P262*F!$B$61,IF(Q262=62%,N262*O262*P262*F!$B$62,IF(Q262=63%,N262*O262*P262*F!$B$63,IF(Q262=64%,N262*O262*P262*F!$B$64,IF(Q262=65%,N262*O262*P262*F!$B$65,IF(Q262=66%,N262*O262*P262*F!$B$66,IF(Q262=67%,N262*O262*P262*F!$B$67,IF(Q262=68%,N262*O262*P262*F!$B$68,IF(Q262=69%,N262*O262*P262*F!$B$69,IF(Q262=70%,N262*O262*P262*F!$B$70,IF(Q262=71%,N262*O262*P262*F!$B$71,IF(Q262=72%,N262*O262*P262*F!$B$72,IF(Q262=73%,N262*O262*P262*F!$B$73,IF(Q262=74%,N262*O262*P262*F!$B$74,IF(Q262=75%,N262*O262*P262*F!$B$75,IF(Q262=76%,N262*O262*P262*F!$B$76,IF(Q262=77%,N262*O262*P262*F!$B$77,IF(Q262=78%,N262*O262*P262*F!$B$78,IF(Q262=79%,N262*O262*P262*F!$B$79,IF(Q262=80%,N262*O262*P262*F!$B$80,IF(Q262=81%,N262*O262*P262*F!$B$81,IF(Q262=82%,N262*O262*P262*F!$B$82,IF(Q262=83%,N262*O262*P262*F!$B$83,IF(Q262=84%,N262*O262*P262*F!$B$84,IF(Q262=85%,N262*O262*P262*F!$B$85,IF(Q262=86%,N262*O262*P262*F!$B$86,IF(Q262=87%,N262*O262*P262*F!$B$87,IF(Q262=88%,N262*O262*P262*F!$B$88,IF(Q262=89%,N262*O262*P262*F!$B$89,IF(Q262=90%,N262*O262*P262*F!$B$90,IF(Q262=91%,N262*O262*P262*F!$B$91,IF(Q262=92%,N262*O262*P262*F!$B$92,IF(Q262=93%,N262*O262*P262*F!$B$93,IF(Q262=94%,N262*O262*P262*F!$B$94,IF(Q262=95%,N262*O262*P262*F!$B$95,IF(Q262=96%,N262*O262*P262*F!$B$96,IF(Q262=97%,N262*O262*P262*F!$B$97,IF(Q262=98%,N262*O262*P262*F!$B$98,IF(Q262=99%,N262*O262*P262*F!$B$99,IF(Q262&gt;99%,N262*O262*P262*F!$B$100,))))))))))))))))))))))))))))))))))))))))))))))))))))))))+IF(U262&lt;30%,0,IF(U262&lt;35%,R262*S262*T262*F!$B$33,IF(U262&lt;40%,R262*S262*T262*F!$B$38,IF(U262&lt;45%,R262*S262*T262*F!$B$43,IF(U262&lt;50%,R262*S262*T262*F!$B$48,IF(U262=50%,R262*S262*T262*F!$B$50,IF(U262=51%,R262*S262*T262*F!$B$51,IF(U262=52%,R262*S262*T262*F!$B$52,IF(U262=53%,R262*S262*T262*F!$B$53,IF(U262=54%,R262*S262*T262*F!$B$54,IF(U262=55%,R262*S262*T262*F!$B$55,IF(U262=56%,R262*S262*T262*F!$B$56,IF(U262=57%,R262*S262*T262*F!$B$57,IF(U262=58%,R262*S262*T262*F!$B$58,IF(U262=59%,R262*S262*T262*F!$B$59,IF(U262=60%,R262*S262*T262*F!$B$60,IF(U262=61%,R262*S262*T262*F!$B$61,IF(U262=62%,R262*S262*T262*F!$B$62,IF(U262=63%,R262*S262*T262*F!$B$63,IF(U262=64%,R262*S262*T262*F!$B$64,IF(U262=65%,R262*S262*T262*F!$B$65,IF(U262=66%,R262*S262*T262*F!$B$66,IF(U262=67%,R262*S262*T262*F!$B$67,IF(U262=68%,R262*S262*T262*F!$B$68,IF(U262=69%,R262*S262*T262*F!$B$69,IF(U262=70%,R262*S262*T262*F!$B$70,IF(U262=71%,R262*S262*T262*F!$B$71,IF(U262=72%,R262*S262*T262*F!$B$72,IF(U262=73%,R262*S262*T262*F!$B$73,IF(U262=74%,R262*S262*T262*F!$B$74,IF(U262=75%,R262*S262*T262*F!$B$75,IF(U262=76%,R262*S262*T262*F!$B$76,IF(U262=77%,R262*S262*T262*F!$B$77,IF(U262=78%,R262*S262*T262*F!$B$78,IF(U262=79%,R262*S262*T262*F!$B$79,IF(U262=80%,R262*S262*T262*F!$B$80,IF(U262=81%,R262*S262*T262*F!$B$81,IF(U262=82%,R262*S262*T262*F!$B$82,IF(U262=83%,R262*S262*T262*F!$B$83,IF(U262=84%,R262*S262*T262*F!$B$84,IF(U262=85%,R262*S262*T262*F!$B$85,IF(U262=86%,R262*S262*T262*F!$B$86,IF(U262=87%,R262*S262*T262*F!$B$87,IF(U262=88%,R262*S262*T262*F!$B$88,IF(U262=89%,R262*S262*T262*F!$B$89,IF(U262=90%,R262*S262*T262*F!$B$90,IF(U262=91%,R262*S262*T262*F!$B$91,IF(U262=92%,R262*S262*T262*F!$B$92,IF(U262=93%,R262*S262*T262*F!$B$93,IF(U262=94%,R262*S262*T262*F!$B$94,IF(U262=95%,R262*S262*T262*F!$B$95,IF(U262=96%,R262*S262*T262*F!$B$96,IF(U262=97%,R262*S262*T262*F!$B$97,IF(U262=98%,R262*S262*T262*F!$B$98,IF(U262=99%,R262*S262*T262*F!$B$99,IF(U262&gt;99%,R262*S262*T262*F!$B$100)))))))))))))))))))))))))))))))))))))))))))))))))))))))))*IF(ISNUMBER(E262),E262,1)*IF(ISNUMBER(D262),D262,1)</f>
        <v>#REF!</v>
      </c>
      <c r="AA262" s="32">
        <f t="shared" ref="AA262:AA267" si="657">G262*H262+K262*L262+O262*P262+S262*T262</f>
        <v>52</v>
      </c>
      <c r="AB262" s="38">
        <f t="shared" ref="AB262:AB267" si="658">(H262*(IF(I262&lt;45%,0.5,IF(I262&lt;55%,0.8,IF(I262&lt;65%,0.9,IF(I262&lt;75%,1,IF(I262&lt;85%,1.1,1.2))))))+L262*(IF(M262&lt;45%,0.5,IF(M262&lt;55%,0.8,IF(M262&lt;65%,0.9,IF(M262&lt;75%,1,IF(M262&lt;85%,1.1,1.2))))))+P262*(IF(Q262&lt;45%,0.5,IF(Q262&lt;55%,0.8,IF(Q262&lt;65%,0.9,IF(Q262&lt;75%,1,IF(Q262&lt;85%,1.1,1.2))))))+T262*(IF(U262&lt;45%,0.5,IF(U262&lt;55%,0.8,IF(U262&lt;65%,0.9,IF(U262&lt;75%,1,IF(U262&lt;85%,1.1,1.2)))))))*IF(D262&gt;=0.8,6,IF(D262&lt;=0.4,1.5,3))</f>
        <v>22.2</v>
      </c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</row>
    <row r="263" ht="15.0" customHeight="1">
      <c r="A263" s="43">
        <f>A226+7</f>
        <v>42380</v>
      </c>
      <c r="B263" s="44" t="str">
        <f t="shared" ref="B263:C263" si="645">IF(B226="","",B226)</f>
        <v>Средняя</v>
      </c>
      <c r="C263" s="149" t="str">
        <f t="shared" si="645"/>
        <v>Болгарские выпады</v>
      </c>
      <c r="D263" s="46">
        <f t="shared" si="646"/>
        <v>0.3</v>
      </c>
      <c r="E263" s="47" t="str">
        <f t="shared" si="647"/>
        <v/>
      </c>
      <c r="F263" s="48">
        <f t="shared" si="648"/>
        <v>14</v>
      </c>
      <c r="G263" s="49">
        <v>12.0</v>
      </c>
      <c r="H263" s="49">
        <v>1.0</v>
      </c>
      <c r="I263" s="50">
        <v>0.43</v>
      </c>
      <c r="J263" s="48">
        <f t="shared" si="649"/>
        <v>18</v>
      </c>
      <c r="K263" s="49">
        <v>10.0</v>
      </c>
      <c r="L263" s="49">
        <v>3.0</v>
      </c>
      <c r="M263" s="50">
        <v>0.55</v>
      </c>
      <c r="N263" s="48" t="str">
        <f t="shared" si="650"/>
        <v/>
      </c>
      <c r="O263" s="49"/>
      <c r="P263" s="49"/>
      <c r="Q263" s="50">
        <v>0.0</v>
      </c>
      <c r="R263" s="48" t="str">
        <f t="shared" si="651"/>
        <v/>
      </c>
      <c r="S263" s="49"/>
      <c r="T263" s="49"/>
      <c r="U263" s="51">
        <v>0.0</v>
      </c>
      <c r="V263" s="52">
        <f t="shared" si="652"/>
        <v>708</v>
      </c>
      <c r="W263" s="53">
        <f t="shared" si="653"/>
        <v>16.85714286</v>
      </c>
      <c r="X263" s="54">
        <f t="shared" si="654"/>
        <v>0.52</v>
      </c>
      <c r="Y263" s="137">
        <f t="shared" si="655"/>
        <v>32.16406056</v>
      </c>
      <c r="Z263" s="53" t="str">
        <f t="shared" si="656"/>
        <v>#REF!</v>
      </c>
      <c r="AA263" s="49">
        <f t="shared" si="657"/>
        <v>42</v>
      </c>
      <c r="AB263" s="56">
        <f t="shared" si="658"/>
        <v>4.8</v>
      </c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</row>
    <row r="264" ht="15.75" customHeight="1">
      <c r="A264" s="57"/>
      <c r="B264" s="44" t="str">
        <f t="shared" ref="B264:C264" si="659">IF(B227="","",B227)</f>
        <v>Средняя</v>
      </c>
      <c r="C264" s="149" t="str">
        <f t="shared" si="659"/>
        <v>Разведение ног в тренажёре</v>
      </c>
      <c r="D264" s="46">
        <f t="shared" si="646"/>
        <v>0.3</v>
      </c>
      <c r="E264" s="47">
        <f t="shared" si="647"/>
        <v>5</v>
      </c>
      <c r="F264" s="59">
        <f t="shared" si="648"/>
        <v>4.3</v>
      </c>
      <c r="G264" s="60">
        <v>12.0</v>
      </c>
      <c r="H264" s="60">
        <v>1.0</v>
      </c>
      <c r="I264" s="61">
        <v>0.4</v>
      </c>
      <c r="J264" s="59">
        <f t="shared" si="649"/>
        <v>5.6</v>
      </c>
      <c r="K264" s="60">
        <v>12.0</v>
      </c>
      <c r="L264" s="60">
        <v>4.0</v>
      </c>
      <c r="M264" s="61">
        <v>0.52</v>
      </c>
      <c r="N264" s="59" t="str">
        <f t="shared" si="650"/>
        <v/>
      </c>
      <c r="O264" s="60"/>
      <c r="P264" s="60"/>
      <c r="Q264" s="61">
        <v>0.0</v>
      </c>
      <c r="R264" s="59" t="str">
        <f t="shared" si="651"/>
        <v/>
      </c>
      <c r="S264" s="60"/>
      <c r="T264" s="60"/>
      <c r="U264" s="62">
        <v>0.0</v>
      </c>
      <c r="V264" s="63">
        <f t="shared" si="652"/>
        <v>1602</v>
      </c>
      <c r="W264" s="64">
        <f t="shared" si="653"/>
        <v>26.7</v>
      </c>
      <c r="X264" s="65">
        <f t="shared" si="654"/>
        <v>0.5</v>
      </c>
      <c r="Y264" s="137">
        <f t="shared" si="655"/>
        <v>10.72135352</v>
      </c>
      <c r="Z264" s="64" t="str">
        <f t="shared" si="656"/>
        <v>#REF!</v>
      </c>
      <c r="AA264" s="60">
        <f t="shared" si="657"/>
        <v>60</v>
      </c>
      <c r="AB264" s="66">
        <f t="shared" si="658"/>
        <v>5.55</v>
      </c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</row>
    <row r="265" ht="15.75" customHeight="1">
      <c r="A265" s="57"/>
      <c r="B265" s="44" t="s">
        <v>18</v>
      </c>
      <c r="C265" s="149" t="str">
        <f>IF(C228="","",C228)</f>
        <v>Присед</v>
      </c>
      <c r="D265" s="46">
        <f t="shared" si="646"/>
        <v>1.2</v>
      </c>
      <c r="E265" s="47" t="str">
        <f t="shared" si="647"/>
        <v/>
      </c>
      <c r="F265" s="48">
        <f t="shared" si="648"/>
        <v>27.5</v>
      </c>
      <c r="G265" s="49">
        <v>10.0</v>
      </c>
      <c r="H265" s="49">
        <v>1.0</v>
      </c>
      <c r="I265" s="50">
        <v>0.5</v>
      </c>
      <c r="J265" s="67">
        <f t="shared" si="649"/>
        <v>30</v>
      </c>
      <c r="K265" s="49">
        <v>10.0</v>
      </c>
      <c r="L265" s="49">
        <v>4.0</v>
      </c>
      <c r="M265" s="50">
        <v>0.58</v>
      </c>
      <c r="N265" s="48" t="str">
        <f t="shared" si="650"/>
        <v/>
      </c>
      <c r="O265" s="49"/>
      <c r="P265" s="49"/>
      <c r="Q265" s="50">
        <v>0.0</v>
      </c>
      <c r="R265" s="48" t="str">
        <f t="shared" si="651"/>
        <v/>
      </c>
      <c r="S265" s="49"/>
      <c r="T265" s="49"/>
      <c r="U265" s="51">
        <v>0.0</v>
      </c>
      <c r="V265" s="52">
        <f t="shared" si="652"/>
        <v>1475</v>
      </c>
      <c r="W265" s="53">
        <f t="shared" si="653"/>
        <v>29.5</v>
      </c>
      <c r="X265" s="54">
        <f t="shared" si="654"/>
        <v>0.55</v>
      </c>
      <c r="Y265" s="137">
        <f t="shared" si="655"/>
        <v>53.60676761</v>
      </c>
      <c r="Z265" s="53" t="str">
        <f t="shared" si="656"/>
        <v>#REF!</v>
      </c>
      <c r="AA265" s="49">
        <f t="shared" si="657"/>
        <v>50</v>
      </c>
      <c r="AB265" s="56">
        <f t="shared" si="658"/>
        <v>26.4</v>
      </c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</row>
    <row r="266" ht="15.75" customHeight="1">
      <c r="A266" s="57"/>
      <c r="B266" s="44" t="str">
        <f t="shared" ref="B266:C266" si="660">IF(B229="","",B229)</f>
        <v>Легкая</v>
      </c>
      <c r="C266" s="149" t="str">
        <f t="shared" si="660"/>
        <v>Жим гантелей вверх</v>
      </c>
      <c r="D266" s="46">
        <f t="shared" si="646"/>
        <v>1.2</v>
      </c>
      <c r="E266" s="47">
        <f t="shared" si="647"/>
        <v>2</v>
      </c>
      <c r="F266" s="59">
        <f t="shared" si="648"/>
        <v>2.6</v>
      </c>
      <c r="G266" s="60">
        <v>12.0</v>
      </c>
      <c r="H266" s="60">
        <v>4.0</v>
      </c>
      <c r="I266" s="61">
        <v>0.35</v>
      </c>
      <c r="J266" s="59" t="str">
        <f t="shared" si="649"/>
        <v/>
      </c>
      <c r="K266" s="60"/>
      <c r="L266" s="60"/>
      <c r="M266" s="61">
        <v>0.0</v>
      </c>
      <c r="N266" s="59" t="str">
        <f t="shared" si="650"/>
        <v/>
      </c>
      <c r="O266" s="60"/>
      <c r="P266" s="60"/>
      <c r="Q266" s="61">
        <v>0.0</v>
      </c>
      <c r="R266" s="59" t="str">
        <f t="shared" si="651"/>
        <v/>
      </c>
      <c r="S266" s="60"/>
      <c r="T266" s="60"/>
      <c r="U266" s="62">
        <v>0.0</v>
      </c>
      <c r="V266" s="63">
        <f t="shared" si="652"/>
        <v>249.6</v>
      </c>
      <c r="W266" s="64">
        <f t="shared" si="653"/>
        <v>5.2</v>
      </c>
      <c r="X266" s="62">
        <f t="shared" si="654"/>
        <v>0.35</v>
      </c>
      <c r="Y266" s="137">
        <f t="shared" si="655"/>
        <v>7.504947465</v>
      </c>
      <c r="Z266" s="64" t="str">
        <f t="shared" si="656"/>
        <v>#REF!</v>
      </c>
      <c r="AA266" s="60">
        <f t="shared" si="657"/>
        <v>48</v>
      </c>
      <c r="AB266" s="66">
        <f t="shared" si="658"/>
        <v>12</v>
      </c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</row>
    <row r="267" ht="15.75" customHeight="1">
      <c r="A267" s="57"/>
      <c r="B267" s="44" t="s">
        <v>18</v>
      </c>
      <c r="C267" s="149" t="str">
        <f>IF(C230="","",C230)</f>
        <v>Разведение гантелей в стороны</v>
      </c>
      <c r="D267" s="46">
        <f t="shared" si="646"/>
        <v>0.4</v>
      </c>
      <c r="E267" s="47">
        <f t="shared" si="647"/>
        <v>2</v>
      </c>
      <c r="F267" s="48">
        <f t="shared" si="648"/>
        <v>2.9</v>
      </c>
      <c r="G267" s="49">
        <v>12.0</v>
      </c>
      <c r="H267" s="49">
        <v>1.0</v>
      </c>
      <c r="I267" s="50">
        <v>0.45</v>
      </c>
      <c r="J267" s="48">
        <f t="shared" si="649"/>
        <v>3.7</v>
      </c>
      <c r="K267" s="49">
        <v>10.0</v>
      </c>
      <c r="L267" s="49">
        <v>4.0</v>
      </c>
      <c r="M267" s="50">
        <v>0.58</v>
      </c>
      <c r="N267" s="48" t="str">
        <f t="shared" si="650"/>
        <v/>
      </c>
      <c r="O267" s="49"/>
      <c r="P267" s="49"/>
      <c r="Q267" s="50">
        <v>0.0</v>
      </c>
      <c r="R267" s="48" t="str">
        <f t="shared" si="651"/>
        <v/>
      </c>
      <c r="S267" s="49"/>
      <c r="T267" s="49"/>
      <c r="U267" s="51">
        <v>0.0</v>
      </c>
      <c r="V267" s="52">
        <f t="shared" si="652"/>
        <v>365.6</v>
      </c>
      <c r="W267" s="53">
        <f t="shared" si="653"/>
        <v>7.030769231</v>
      </c>
      <c r="X267" s="54">
        <f t="shared" si="654"/>
        <v>0.55</v>
      </c>
      <c r="Y267" s="137">
        <f t="shared" si="655"/>
        <v>6.432812113</v>
      </c>
      <c r="Z267" s="53" t="str">
        <f t="shared" si="656"/>
        <v>#REF!</v>
      </c>
      <c r="AA267" s="49">
        <f t="shared" si="657"/>
        <v>52</v>
      </c>
      <c r="AB267" s="56">
        <f t="shared" si="658"/>
        <v>6.6</v>
      </c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</row>
    <row r="268" ht="15.75" customHeight="1">
      <c r="A268" s="72"/>
      <c r="B268" s="73" t="str">
        <f t="shared" ref="B268:C268" si="661">IF(B231="","",B231)</f>
        <v/>
      </c>
      <c r="C268" s="174" t="str">
        <f t="shared" si="661"/>
        <v>Разгибание рук на блоке</v>
      </c>
      <c r="D268" s="75">
        <f>ROUND(IFERROR((D262*(G262*H262+K262*L262+O262*P262+S262*T262)+D263*(G263*H263+K263*L263+O263*P263+S263*T263)+D264*(G264*H264+K264*L264+O264*P264+S264*T264)+D265*(G265*H265+K265*L265+O265*P265+S265*T265)+D266*(G266*H266+K266*L266+O266*P266+S266*T266)+D267*(G267*H267+K267*L267+O267*P267+S267*T267))/((G262*H262+K262*L262+O262*P262+S262*T262)+(G263*H263+K263*L263+O263*P263+S263*T263)+(G264*H264+K264*L264+O264*P264+S264*T264)+(G265*H265+K265*L265+O265*P265+S265*T265)+(G266*H266+K266*L266+O266*P266+S266*T266)+(G267*H267+K267*L267+O267*P267+S267*T267)),0),2)</f>
        <v>0.73</v>
      </c>
      <c r="E268" s="76" t="str">
        <f t="shared" si="647"/>
        <v/>
      </c>
      <c r="F268" s="77"/>
      <c r="G268" s="78"/>
      <c r="H268" s="78"/>
      <c r="I268" s="79"/>
      <c r="J268" s="77"/>
      <c r="K268" s="78"/>
      <c r="L268" s="78"/>
      <c r="M268" s="79"/>
      <c r="N268" s="77"/>
      <c r="O268" s="78"/>
      <c r="P268" s="78"/>
      <c r="Q268" s="79"/>
      <c r="R268" s="77"/>
      <c r="S268" s="78"/>
      <c r="T268" s="78"/>
      <c r="U268" s="80"/>
      <c r="V268" s="81">
        <f>SUM(V262:V267)</f>
        <v>6910.2</v>
      </c>
      <c r="W268" s="82">
        <f>IFERROR(V268/AA268,0)</f>
        <v>22.73092105</v>
      </c>
      <c r="X268" s="83">
        <f>ROUND(IFERROR(((I262*G262*H262+M262*K262*L262+Q262*O262*P262+U262*S262*T262)+(I263*G263*H263+M263*K263*L263+Q263*O263*P263+U263*S263*T263)+(I264*G264*H264+M264*K264*L264+Q264*O264*P264+U264*S264*T264)+(I265*G265*H265+M265*K265*L265+Q265*O265*P265+U265*S265*T265)+(I266*G266*H266+M266*K266*L266+Q266*O266*P266+U266*S266*T266)+(I267*G267*H267+M267*K267*L267+Q267*O267*P267+U267*S267*T267))/((G262*H262+K262*L262+O262*P262+S262*T262)+(G263*H263+K263*L263+O263*P263+S263*T263)+(G264*H264+K264*L264+O264*P264+S264*T264)+(G265*H265+K265*L265+O265*P265+S265*T265)+(G266*H266+K266*L266+O266*P266+S266*T266)+(G267*H267+K267*L267+O267*P267+S267*T267)),0),3)</f>
        <v>0.497</v>
      </c>
      <c r="Y268" s="84"/>
      <c r="Z268" s="82" t="str">
        <f t="shared" ref="Z268:AA268" si="662">SUM(Z262:Z267)</f>
        <v>#REF!</v>
      </c>
      <c r="AA268" s="85">
        <f t="shared" si="662"/>
        <v>304</v>
      </c>
      <c r="AB268" s="86">
        <f>IF(SUM(AB262:AB267)=0,TIME(,0,),TIME(,SUM(AB262:AB267)+30,))</f>
        <v>0.07430555556</v>
      </c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</row>
    <row r="269" ht="15.75" customHeight="1">
      <c r="A269" s="88" t="s">
        <v>28</v>
      </c>
      <c r="B269" s="89" t="str">
        <f t="shared" ref="B269:C269" si="663">IF(B232="","",B232)</f>
        <v>Средняя</v>
      </c>
      <c r="C269" s="141" t="str">
        <f t="shared" si="663"/>
        <v>Румынская тяга</v>
      </c>
      <c r="D269" s="29">
        <f t="shared" ref="D269:D274" si="664">D232</f>
        <v>1</v>
      </c>
      <c r="E269" s="91" t="str">
        <f t="shared" si="647"/>
        <v/>
      </c>
      <c r="F269" s="92">
        <f t="shared" ref="F269:F274" si="665">IF(I269&lt;&gt;0,(IFERROR(IF($Y269&gt;50,MROUND($Y269*I269,2.5),IF($Y269&lt;15,MROUND($Y269*I269,0.1),MROUND($Y269*I269,1))),)),"")</f>
        <v>22.5</v>
      </c>
      <c r="G269" s="93">
        <v>12.0</v>
      </c>
      <c r="H269" s="93">
        <v>1.0</v>
      </c>
      <c r="I269" s="94">
        <v>0.4</v>
      </c>
      <c r="J269" s="92">
        <f t="shared" ref="J269:J274" si="666">IF(M269&lt;&gt;0,(IFERROR(IF($Y269&gt;50,MROUND($Y269*M269,2.5),IF($Y269&lt;15,MROUND($Y269*M269,0.1),MROUND($Y269*M269,1))),)),"")</f>
        <v>30</v>
      </c>
      <c r="K269" s="93">
        <v>10.0</v>
      </c>
      <c r="L269" s="93">
        <v>5.0</v>
      </c>
      <c r="M269" s="94">
        <v>0.5</v>
      </c>
      <c r="N269" s="92" t="str">
        <f t="shared" ref="N269:N274" si="667">IF(Q269&lt;&gt;0,(IFERROR(IF($Y269&gt;50,MROUND($Y269*Q269,2.5),IF($Y269&lt;15,MROUND($Y269*Q269,0.1),MROUND($Y269*Q269,1))),)),"")</f>
        <v/>
      </c>
      <c r="O269" s="93"/>
      <c r="P269" s="93"/>
      <c r="Q269" s="94">
        <v>0.0</v>
      </c>
      <c r="R269" s="92" t="str">
        <f t="shared" ref="R269:R274" si="668">IF(U269&lt;&gt;0,(IFERROR(IF($Y269&gt;50,MROUND($Y269*U269,2.5),IF($Y269&lt;15,MROUND($Y269*U269,0.1),MROUND($Y269*U269,1))),)),"")</f>
        <v/>
      </c>
      <c r="S269" s="93"/>
      <c r="T269" s="93"/>
      <c r="U269" s="94">
        <v>0.0</v>
      </c>
      <c r="V269" s="95">
        <f t="shared" ref="V269:V274" si="669">(IF(ISNUMBER(F269),F269,1)*G269*H269+IF(ISNUMBER(J269),J269,1)*K269*L269+IF(ISNUMBER(N269),N269,1)*O269*P269+IF(ISNUMBER(R269),R269,1)*S269*T269)*IF(ISNUMBER(E269),E269,1)</f>
        <v>1770</v>
      </c>
      <c r="W269" s="96">
        <f t="shared" ref="W269:W274" si="670">IFERROR((IF(ISNUMBER(F269),F269,1)*G269*H269+IF(ISNUMBER(J269),J269,1)*K269*L269+IF(ISNUMBER(N269),N269,1)*O269*P269+IF(ISNUMBER(R269),R269,1)*S269*T269)*IF(ISNUMBER(E269),E269,1)/(G269*H269+K269*L269+O269*P269+S269*T269),0)</f>
        <v>28.5483871</v>
      </c>
      <c r="X269" s="97">
        <f t="shared" ref="X269:X274" si="671">ROUND(IFERROR((W269/(Y269*IF(ISNUMBER(E269),E269,1))),0),2)</f>
        <v>0.48</v>
      </c>
      <c r="Y269" s="37">
        <f t="shared" ref="Y269:Y274" si="672">IF(ISNUMBER(Y232), Y232+(Y232*$Y$260),"")</f>
        <v>58.96744437</v>
      </c>
      <c r="Z269" s="96" t="str">
        <f t="shared" ref="Z269:Z274" si="673">(IF(I269&lt;30%,0,IF(I269&lt;35%,F269*G269*H269*F!$B$33,IF(I269&lt;40%,F269*G269*H269*F!$B$38,IF(I269&lt;45%,F269*G269*H269*F!$B$43,IF(I269&lt;50%,F269*G269*H269*F!$B$48,IF(I269=50%,F269*G269*H269*F!$B$50,IF(I269=51%,F269*G269*H269*F!$B$51,IF(I269=52%,F269*G269*H269*F!$B$52,IF(I269=53%,F269*G269*H269*F!$B$53,IF(I269=54%,F269*G269*H269*F!$B$54,IF(I269=55%,F269*G269*H269*F!$B$55,IF(I269=56%,F269*G269*H269*F!$B$56,IF(I269=57%,F269*G269*H269*F!$B$57,IF(I269=58%,F269*G269*H269*F!$B$58,IF(I269=59%,F269*G269*H269*F!$B$59,IF(I269=60%,F269*G269*H269*F!$B$60,IF(I269=61%,F269*G269*H269*F!$B$61,IF(I269=62%,F269*G269*H269*F!$B$62,IF(I269=63%,F269*G269*H269*F!$B$63,IF(I269=64%,F269*G269*H269*F!$B$64,IF(I269=65%,F269*G269*H269*F!$B$65,IF(I269=66%,F269*G269*H269*F!$B$66,IF(I269=67%,F269*G269*H269*F!$B$67,IF(I269=68%,F269*G269*H269*F!$B$68,IF(I269=69%,F269*G269*H269*F!$B$69,IF(I269=70%,F269*G269*H269*F!$B$70,IF(I269=71%,F269*G269*H269*F!$B$71,IF(I269=72%,F269*G269*H269*F!$B$72,IF(I269=73%,F269*G269*H269*F!$B$73,IF(I269=74%,F269*G269*H269*F!$B$74,IF(I269=75%,F269*G269*H269*F!$B$75,IF(I269=76%,F269*G269*H269*F!$B$76,IF(I269=77%,F269*G269*H269*F!$B$77,IF(I269=78%,F269*G269*H269*F!$B$78,IF(I269=79%,F269*G269*H269*F!$B$79,IF(I269=80%,F269*G269*H269*F!$B$80,IF(I269=81%,F269*G269*H269*F!$B$81,IF(I269=82%,F269*G269*H269*F!$B$82,IF(I269=83%,F269*G269*H269*F!$B$83,IF(I269=84%,F269*G269*H269*F!$B$84,IF(I269=85%,F269*G269*H269*F!$B$85,IF(I269=86%,F269*G269*H269*F!$B$86,IF(I269=87%,F269*G269*H269*F!$B$87,IF(I269=88%,F269*G269*H269*F!$B$88,IF(I269=89%,F269*G269*H269*F!$B$89,IF(I269=90%,F269*G269*H269*F!$B$90,IF(I269=91%,F269*G269*H269*F!$B$91,IF(I269=92%,F269*G269*H269*F!$B$92,IF(I269=93%,F269*G269*H269*F!$B$93,IF(I269=94%,F269*G269*H269*F!$B$94,IF(I269=95%,F269*G269*H269*F!$B$95,IF(I269=96%,F269*G269*H269*F!$B$96,IF(I269=97%,F269*G269*H269*F!$B$97,IF(I269=98%,F269*G269*H269*F!$B$98,IF(I269=99%,F269*G269*H269*F!$B$99,IF(I269&gt;99%,F269*G269*H269*F!$B$100,))))))))))))))))))))))))))))))))))))))))))))))))))))))))+IF(M269&lt;30%,0,IF(M269&lt;35%,J269*K269*L269*F!$B$33,IF(M269&lt;40%,J269*K269*L269*F!$B$38,IF(M269&lt;45%,J269*K269*L269*F!$B$43,IF(M269&lt;50%,J269*K269*L269*F!$B$48,IF(M269=50%,J269*K269*L269*F!$B$50,IF(M269=51%,J269*K269*L269*F!$B$51,IF(M269=52%,J269*K269*L269*F!$B$52,IF(M269=53%,J269*K269*L269*F!$B$53,IF(M269=54%,J269*K269*L269*F!$B$54,IF(M269=55%,J269*K269*L269*F!$B$55,IF(M269=56%,J269*K269*L269*F!$B$56,IF(M269=57%,J269*K269*L269*F!$B$57,IF(M269=58%,J269*K269*L269*F!$B$58,IF(M269=59%,J269*K269*L269*F!$B$59,IF(M269=60%,J269*K269*L269*F!$B$60,IF(M269=61%,J269*K269*L269*F!$B$61,IF(M269=62%,J269*K269*L269*F!$B$62,IF(M269=63%,J269*K269*L269*F!$B$63,IF(M269=64%,J269*K269*L269*F!$B$64,IF(M269=65%,J269*K269*L269*F!$B$65,IF(M269=66%,J269*K269*L269*F!$B$66,IF(M269=67%,J269*K269*L269*F!$B$67,IF(M269=68%,J269*K269*L269*F!$B$68,IF(M269=69%,J269*K269*L269*F!$B$69,IF(M269=70%,J269*K269*L269*F!$B$70,IF(M269=71%,J269*K269*L269*F!$B$71,IF(M269=72%,J269*K269*L269*F!$B$72,IF(M269=73%,J269*K269*L269*F!$B$73,IF(M269=74%,J269*K269*L269*F!$B$74,IF(M269=75%,J269*K269*L269*F!$B$75,IF(M269=76%,J269*K269*L269*F!$B$76,IF(M269=77%,J269*K269*L269*F!$B$77,IF(M269=78%,J269*K269*L269*F!$B$78,IF(M269=79%,J269*K269*L269*F!$B$79,IF(M269=80%,J269*K269*L269*F!$B$80,IF(M269=81%,J269*K269*L269*F!$B$81,IF(M269=82%,J269*K269*L269*F!$B$82,IF(M269=83%,J269*K269*L269*F!$B$83,IF(M269=84%,J269*K269*L269*F!$B$84,IF(M269=85%,J269*K269*L269*F!$B$85,IF(M269=86%,J269*K269*L269*F!$B$86,IF(M269=87%,J269*K269*L269*F!$B$87,IF(M269=88%,J269*K269*L269*F!$B$88,IF(M269=89%,J269*K269*L269*F!$B$89,IF(M269=90%,J269*K269*L269*F!$B$90,IF(M269=91%,J269*K269*L269*F!$B$91,IF(M269=92%,J269*K269*L269*F!$B$92,IF(M269=93%,J269*K269*L269*F!$B$93,IF(M269=94%,J269*K269*L269*F!$B$94,IF(M269=95%,J269*K269*L269*F!$B$95,IF(M269=96%,J269*K269*L269*F!$B$96,IF(M269=97%,J269*K269*L269*F!$B$97,IF(M269=98%,J269*K269*L269*F!$B$98,IF(M269=99%,J269*K269*L269*F!$B$99,IF(M269&gt;99%,J269*K269*L269*F!$B$100,))))))))))))))))))))))))))))))))))))))))))))))))))))))))+IF(Q269&lt;30%,0,IF(Q269&lt;35%,N269*O269*P269*F!$B$33,IF(Q269&lt;40%,N269*O269*P269*F!$B$38,IF(Q269&lt;45%,N269*O269*P269*F!$B$43,IF(Q269&lt;50%,N269*O269*P269*F!$B$48,IF(Q269=50%,N269*O269*P269*F!$B$50,IF(Q269=51%,N269*O269*P269*F!$B$51,IF(Q269=52%,N269*O269*P269*F!$B$52,IF(Q269=53%,N269*O269*P269*F!$B$53,IF(Q269=54%,N269*O269*P269*F!$B$54,IF(Q269=55%,N269*O269*P269*F!$B$55,IF(Q269=56%,N269*O269*P269*F!$B$56,IF(Q269=57%,N269*O269*P269*F!$B$57,IF(Q269=58%,N269*O269*P269*F!$B$58,IF(Q269=59%,N269*O269*P269*F!$B$59,IF(Q269=60%,N269*O269*P269*F!$B$60,IF(Q269=61%,N269*O269*P269*F!$B$61,IF(Q269=62%,N269*O269*P269*F!$B$62,IF(Q269=63%,N269*O269*P269*F!$B$63,IF(Q269=64%,N269*O269*P269*F!$B$64,IF(Q269=65%,N269*O269*P269*F!$B$65,IF(Q269=66%,N269*O269*P269*F!$B$66,IF(Q269=67%,N269*O269*P269*F!$B$67,IF(Q269=68%,N269*O269*P269*F!$B$68,IF(Q269=69%,N269*O269*P269*F!$B$69,IF(Q269=70%,N269*O269*P269*F!$B$70,IF(Q269=71%,N269*O269*P269*F!$B$71,IF(Q269=72%,N269*O269*P269*F!$B$72,IF(Q269=73%,N269*O269*P269*F!$B$73,IF(Q269=74%,N269*O269*P269*F!$B$74,IF(Q269=75%,N269*O269*P269*F!$B$75,IF(Q269=76%,N269*O269*P269*F!$B$76,IF(Q269=77%,N269*O269*P269*F!$B$77,IF(Q269=78%,N269*O269*P269*F!$B$78,IF(Q269=79%,N269*O269*P269*F!$B$79,IF(Q269=80%,N269*O269*P269*F!$B$80,IF(Q269=81%,N269*O269*P269*F!$B$81,IF(Q269=82%,N269*O269*P269*F!$B$82,IF(Q269=83%,N269*O269*P269*F!$B$83,IF(Q269=84%,N269*O269*P269*F!$B$84,IF(Q269=85%,N269*O269*P269*F!$B$85,IF(Q269=86%,N269*O269*P269*F!$B$86,IF(Q269=87%,N269*O269*P269*F!$B$87,IF(Q269=88%,N269*O269*P269*F!$B$88,IF(Q269=89%,N269*O269*P269*F!$B$89,IF(Q269=90%,N269*O269*P269*F!$B$90,IF(Q269=91%,N269*O269*P269*F!$B$91,IF(Q269=92%,N269*O269*P269*F!$B$92,IF(Q269=93%,N269*O269*P269*F!$B$93,IF(Q269=94%,N269*O269*P269*F!$B$94,IF(Q269=95%,N269*O269*P269*F!$B$95,IF(Q269=96%,N269*O269*P269*F!$B$96,IF(Q269=97%,N269*O269*P269*F!$B$97,IF(Q269=98%,N269*O269*P269*F!$B$98,IF(Q269=99%,N269*O269*P269*F!$B$99,IF(Q269&gt;99%,N269*O269*P269*F!$B$100,))))))))))))))))))))))))))))))))))))))))))))))))))))))))+IF(U269&lt;30%,0,IF(U269&lt;35%,R269*S269*T269*F!$B$33,IF(U269&lt;40%,R269*S269*T269*F!$B$38,IF(U269&lt;45%,R269*S269*T269*F!$B$43,IF(U269&lt;50%,R269*S269*T269*F!$B$48,IF(U269=50%,R269*S269*T269*F!$B$50,IF(U269=51%,R269*S269*T269*F!$B$51,IF(U269=52%,R269*S269*T269*F!$B$52,IF(U269=53%,R269*S269*T269*F!$B$53,IF(U269=54%,R269*S269*T269*F!$B$54,IF(U269=55%,R269*S269*T269*F!$B$55,IF(U269=56%,R269*S269*T269*F!$B$56,IF(U269=57%,R269*S269*T269*F!$B$57,IF(U269=58%,R269*S269*T269*F!$B$58,IF(U269=59%,R269*S269*T269*F!$B$59,IF(U269=60%,R269*S269*T269*F!$B$60,IF(U269=61%,R269*S269*T269*F!$B$61,IF(U269=62%,R269*S269*T269*F!$B$62,IF(U269=63%,R269*S269*T269*F!$B$63,IF(U269=64%,R269*S269*T269*F!$B$64,IF(U269=65%,R269*S269*T269*F!$B$65,IF(U269=66%,R269*S269*T269*F!$B$66,IF(U269=67%,R269*S269*T269*F!$B$67,IF(U269=68%,R269*S269*T269*F!$B$68,IF(U269=69%,R269*S269*T269*F!$B$69,IF(U269=70%,R269*S269*T269*F!$B$70,IF(U269=71%,R269*S269*T269*F!$B$71,IF(U269=72%,R269*S269*T269*F!$B$72,IF(U269=73%,R269*S269*T269*F!$B$73,IF(U269=74%,R269*S269*T269*F!$B$74,IF(U269=75%,R269*S269*T269*F!$B$75,IF(U269=76%,R269*S269*T269*F!$B$76,IF(U269=77%,R269*S269*T269*F!$B$77,IF(U269=78%,R269*S269*T269*F!$B$78,IF(U269=79%,R269*S269*T269*F!$B$79,IF(U269=80%,R269*S269*T269*F!$B$80,IF(U269=81%,R269*S269*T269*F!$B$81,IF(U269=82%,R269*S269*T269*F!$B$82,IF(U269=83%,R269*S269*T269*F!$B$83,IF(U269=84%,R269*S269*T269*F!$B$84,IF(U269=85%,R269*S269*T269*F!$B$85,IF(U269=86%,R269*S269*T269*F!$B$86,IF(U269=87%,R269*S269*T269*F!$B$87,IF(U269=88%,R269*S269*T269*F!$B$88,IF(U269=89%,R269*S269*T269*F!$B$89,IF(U269=90%,R269*S269*T269*F!$B$90,IF(U269=91%,R269*S269*T269*F!$B$91,IF(U269=92%,R269*S269*T269*F!$B$92,IF(U269=93%,R269*S269*T269*F!$B$93,IF(U269=94%,R269*S269*T269*F!$B$94,IF(U269=95%,R269*S269*T269*F!$B$95,IF(U269=96%,R269*S269*T269*F!$B$96,IF(U269=97%,R269*S269*T269*F!$B$97,IF(U269=98%,R269*S269*T269*F!$B$98,IF(U269=99%,R269*S269*T269*F!$B$99,IF(U269&gt;99%,R269*S269*T269*F!$B$100)))))))))))))))))))))))))))))))))))))))))))))))))))))))))*IF(ISNUMBER(E269),E269,1)*IF(ISNUMBER(D269),D269,1)</f>
        <v>#REF!</v>
      </c>
      <c r="AA269" s="93">
        <f t="shared" ref="AA269:AA274" si="674">G269*H269+K269*L269+O269*P269+S269*T269</f>
        <v>62</v>
      </c>
      <c r="AB269" s="99">
        <f t="shared" ref="AB269:AB274" si="675">(H269*(IF(I269&lt;45%,0.5,IF(I269&lt;55%,0.8,IF(I269&lt;65%,0.9,IF(I269&lt;75%,1,IF(I269&lt;85%,1.1,1.2))))))+L269*(IF(M269&lt;45%,0.5,IF(M269&lt;55%,0.8,IF(M269&lt;65%,0.9,IF(M269&lt;75%,1,IF(M269&lt;85%,1.1,1.2))))))+P269*(IF(Q269&lt;45%,0.5,IF(Q269&lt;55%,0.8,IF(Q269&lt;65%,0.9,IF(Q269&lt;75%,1,IF(Q269&lt;85%,1.1,1.2))))))+T269*(IF(U269&lt;45%,0.5,IF(U269&lt;55%,0.8,IF(U269&lt;65%,0.9,IF(U269&lt;75%,1,IF(U269&lt;85%,1.1,1.2)))))))*IF(D269&gt;=0.8,6,IF(D269&lt;=0.4,1.5,3))</f>
        <v>27</v>
      </c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</row>
    <row r="270" ht="15.0" customHeight="1">
      <c r="A270" s="43">
        <f>A263+2</f>
        <v>42382</v>
      </c>
      <c r="B270" s="101" t="s">
        <v>23</v>
      </c>
      <c r="C270" s="143" t="str">
        <f>IF(C233="","",C233)</f>
        <v>Выпады назад</v>
      </c>
      <c r="D270" s="46">
        <f t="shared" si="664"/>
        <v>1</v>
      </c>
      <c r="E270" s="144">
        <f t="shared" si="647"/>
        <v>2</v>
      </c>
      <c r="F270" s="59">
        <f t="shared" si="665"/>
        <v>8</v>
      </c>
      <c r="G270" s="60">
        <v>12.0</v>
      </c>
      <c r="H270" s="60">
        <v>1.0</v>
      </c>
      <c r="I270" s="61">
        <v>0.5</v>
      </c>
      <c r="J270" s="59">
        <f t="shared" si="666"/>
        <v>9</v>
      </c>
      <c r="K270" s="60">
        <v>10.0</v>
      </c>
      <c r="L270" s="60">
        <v>1.0</v>
      </c>
      <c r="M270" s="61">
        <v>0.62</v>
      </c>
      <c r="N270" s="59">
        <f t="shared" si="667"/>
        <v>11</v>
      </c>
      <c r="O270" s="60">
        <v>8.0</v>
      </c>
      <c r="P270" s="60">
        <v>4.0</v>
      </c>
      <c r="Q270" s="61">
        <v>0.73</v>
      </c>
      <c r="R270" s="59" t="str">
        <f t="shared" si="668"/>
        <v/>
      </c>
      <c r="S270" s="60"/>
      <c r="T270" s="60"/>
      <c r="U270" s="61">
        <v>0.0</v>
      </c>
      <c r="V270" s="104">
        <f t="shared" si="669"/>
        <v>1076</v>
      </c>
      <c r="W270" s="64">
        <f t="shared" si="670"/>
        <v>19.92592593</v>
      </c>
      <c r="X270" s="65">
        <f t="shared" si="671"/>
        <v>0.66</v>
      </c>
      <c r="Y270" s="137">
        <f t="shared" si="672"/>
        <v>15.00989493</v>
      </c>
      <c r="Z270" s="64" t="str">
        <f t="shared" si="673"/>
        <v>#REF!</v>
      </c>
      <c r="AA270" s="60">
        <f t="shared" si="674"/>
        <v>54</v>
      </c>
      <c r="AB270" s="66">
        <f t="shared" si="675"/>
        <v>34.2</v>
      </c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</row>
    <row r="271" ht="15.75" customHeight="1">
      <c r="A271" s="57"/>
      <c r="B271" s="101" t="str">
        <f t="shared" ref="B271:C271" si="676">IF(B234="","",B234)</f>
        <v>Легкая</v>
      </c>
      <c r="C271" s="143" t="str">
        <f t="shared" si="676"/>
        <v>Отведение ноги назад</v>
      </c>
      <c r="D271" s="46">
        <f t="shared" si="664"/>
        <v>0.3</v>
      </c>
      <c r="E271" s="144">
        <f t="shared" si="647"/>
        <v>4</v>
      </c>
      <c r="F271" s="105">
        <f t="shared" si="665"/>
        <v>2.3</v>
      </c>
      <c r="G271" s="106">
        <v>10.0</v>
      </c>
      <c r="H271" s="106">
        <v>3.0</v>
      </c>
      <c r="I271" s="107">
        <v>0.42</v>
      </c>
      <c r="J271" s="105" t="str">
        <f t="shared" si="666"/>
        <v/>
      </c>
      <c r="K271" s="106"/>
      <c r="L271" s="106"/>
      <c r="M271" s="107">
        <v>0.0</v>
      </c>
      <c r="N271" s="105" t="str">
        <f t="shared" si="667"/>
        <v/>
      </c>
      <c r="O271" s="106"/>
      <c r="P271" s="106"/>
      <c r="Q271" s="107">
        <v>0.0</v>
      </c>
      <c r="R271" s="105" t="str">
        <f t="shared" si="668"/>
        <v/>
      </c>
      <c r="S271" s="106"/>
      <c r="T271" s="106"/>
      <c r="U271" s="107">
        <v>0.0</v>
      </c>
      <c r="V271" s="108">
        <f t="shared" si="669"/>
        <v>276</v>
      </c>
      <c r="W271" s="109">
        <f t="shared" si="670"/>
        <v>9.2</v>
      </c>
      <c r="X271" s="110">
        <f t="shared" si="671"/>
        <v>0.43</v>
      </c>
      <c r="Y271" s="137">
        <f t="shared" si="672"/>
        <v>5.360676761</v>
      </c>
      <c r="Z271" s="109" t="str">
        <f t="shared" si="673"/>
        <v>#REF!</v>
      </c>
      <c r="AA271" s="106">
        <f t="shared" si="674"/>
        <v>30</v>
      </c>
      <c r="AB271" s="111">
        <f t="shared" si="675"/>
        <v>2.25</v>
      </c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</row>
    <row r="272" ht="15.75" customHeight="1">
      <c r="A272" s="57"/>
      <c r="B272" s="101" t="str">
        <f t="shared" ref="B272:C272" si="677">IF(B235="","",B235)</f>
        <v>Легкая</v>
      </c>
      <c r="C272" s="143" t="str">
        <f t="shared" si="677"/>
        <v>Тяга верхнего блока</v>
      </c>
      <c r="D272" s="46">
        <f t="shared" si="664"/>
        <v>0.3</v>
      </c>
      <c r="E272" s="144">
        <f t="shared" si="647"/>
        <v>4</v>
      </c>
      <c r="F272" s="59">
        <f t="shared" si="665"/>
        <v>3.4</v>
      </c>
      <c r="G272" s="60">
        <v>10.0</v>
      </c>
      <c r="H272" s="60">
        <v>4.0</v>
      </c>
      <c r="I272" s="61">
        <v>0.4</v>
      </c>
      <c r="J272" s="59" t="str">
        <f t="shared" si="666"/>
        <v/>
      </c>
      <c r="K272" s="60"/>
      <c r="L272" s="60"/>
      <c r="M272" s="61">
        <v>0.0</v>
      </c>
      <c r="N272" s="59" t="str">
        <f t="shared" si="667"/>
        <v/>
      </c>
      <c r="O272" s="60"/>
      <c r="P272" s="60"/>
      <c r="Q272" s="61">
        <v>0.0</v>
      </c>
      <c r="R272" s="59" t="str">
        <f t="shared" si="668"/>
        <v/>
      </c>
      <c r="S272" s="60"/>
      <c r="T272" s="60"/>
      <c r="U272" s="61">
        <v>0.0</v>
      </c>
      <c r="V272" s="104">
        <f t="shared" si="669"/>
        <v>544</v>
      </c>
      <c r="W272" s="64">
        <f t="shared" si="670"/>
        <v>13.6</v>
      </c>
      <c r="X272" s="65">
        <f t="shared" si="671"/>
        <v>0.4</v>
      </c>
      <c r="Y272" s="137">
        <f t="shared" si="672"/>
        <v>8.577082817</v>
      </c>
      <c r="Z272" s="64" t="str">
        <f t="shared" si="673"/>
        <v>#REF!</v>
      </c>
      <c r="AA272" s="60">
        <f t="shared" si="674"/>
        <v>40</v>
      </c>
      <c r="AB272" s="66">
        <f t="shared" si="675"/>
        <v>3</v>
      </c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</row>
    <row r="273" ht="15.75" customHeight="1">
      <c r="A273" s="57"/>
      <c r="B273" s="101" t="str">
        <f t="shared" ref="B273:C273" si="678">IF(B236="","",B236)</f>
        <v>Средняя</v>
      </c>
      <c r="C273" s="143" t="str">
        <f t="shared" si="678"/>
        <v>Тяга горизонтального блока</v>
      </c>
      <c r="D273" s="46">
        <f t="shared" si="664"/>
        <v>0.3</v>
      </c>
      <c r="E273" s="144">
        <f t="shared" si="647"/>
        <v>4</v>
      </c>
      <c r="F273" s="105">
        <f t="shared" si="665"/>
        <v>4.7</v>
      </c>
      <c r="G273" s="106">
        <v>12.0</v>
      </c>
      <c r="H273" s="106">
        <v>1.0</v>
      </c>
      <c r="I273" s="107">
        <v>0.49</v>
      </c>
      <c r="J273" s="105">
        <f t="shared" si="666"/>
        <v>5.5</v>
      </c>
      <c r="K273" s="106">
        <v>10.0</v>
      </c>
      <c r="L273" s="106">
        <v>3.0</v>
      </c>
      <c r="M273" s="107">
        <v>0.57</v>
      </c>
      <c r="N273" s="105" t="str">
        <f t="shared" si="667"/>
        <v/>
      </c>
      <c r="O273" s="106"/>
      <c r="P273" s="106"/>
      <c r="Q273" s="107">
        <v>0.0</v>
      </c>
      <c r="R273" s="105" t="str">
        <f t="shared" si="668"/>
        <v/>
      </c>
      <c r="S273" s="106"/>
      <c r="T273" s="106"/>
      <c r="U273" s="107">
        <v>0.0</v>
      </c>
      <c r="V273" s="108">
        <f t="shared" si="669"/>
        <v>885.6</v>
      </c>
      <c r="W273" s="109">
        <f t="shared" si="670"/>
        <v>21.08571429</v>
      </c>
      <c r="X273" s="117">
        <f t="shared" si="671"/>
        <v>0.55</v>
      </c>
      <c r="Y273" s="137">
        <f t="shared" si="672"/>
        <v>9.649218169</v>
      </c>
      <c r="Z273" s="109" t="str">
        <f t="shared" si="673"/>
        <v>#REF!</v>
      </c>
      <c r="AA273" s="106">
        <f t="shared" si="674"/>
        <v>42</v>
      </c>
      <c r="AB273" s="111">
        <f t="shared" si="675"/>
        <v>5.25</v>
      </c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</row>
    <row r="274" ht="15.75" customHeight="1">
      <c r="A274" s="57"/>
      <c r="B274" s="101" t="str">
        <f t="shared" ref="B274:C274" si="679">IF(B237="","",B237)</f>
        <v>Средняя</v>
      </c>
      <c r="C274" s="143" t="str">
        <f t="shared" si="679"/>
        <v>Разведения в тренажёре на заднюю дельту</v>
      </c>
      <c r="D274" s="46">
        <f t="shared" si="664"/>
        <v>0.3</v>
      </c>
      <c r="E274" s="144">
        <f t="shared" si="647"/>
        <v>4</v>
      </c>
      <c r="F274" s="59">
        <f t="shared" si="665"/>
        <v>2.1</v>
      </c>
      <c r="G274" s="60">
        <v>10.0</v>
      </c>
      <c r="H274" s="60">
        <v>1.0</v>
      </c>
      <c r="I274" s="61">
        <v>0.49</v>
      </c>
      <c r="J274" s="59">
        <f t="shared" si="666"/>
        <v>2.7</v>
      </c>
      <c r="K274" s="60">
        <v>8.0</v>
      </c>
      <c r="L274" s="60">
        <v>4.0</v>
      </c>
      <c r="M274" s="61">
        <v>0.62</v>
      </c>
      <c r="N274" s="59" t="str">
        <f t="shared" si="667"/>
        <v/>
      </c>
      <c r="O274" s="60"/>
      <c r="P274" s="60"/>
      <c r="Q274" s="61">
        <v>0.0</v>
      </c>
      <c r="R274" s="59" t="str">
        <f t="shared" si="668"/>
        <v/>
      </c>
      <c r="S274" s="60"/>
      <c r="T274" s="60"/>
      <c r="U274" s="61">
        <v>0.0</v>
      </c>
      <c r="V274" s="104">
        <f t="shared" si="669"/>
        <v>429.6</v>
      </c>
      <c r="W274" s="64">
        <f t="shared" si="670"/>
        <v>10.22857143</v>
      </c>
      <c r="X274" s="65">
        <f t="shared" si="671"/>
        <v>0.6</v>
      </c>
      <c r="Y274" s="137">
        <f t="shared" si="672"/>
        <v>4.288541408</v>
      </c>
      <c r="Z274" s="64" t="str">
        <f t="shared" si="673"/>
        <v>#REF!</v>
      </c>
      <c r="AA274" s="60">
        <f t="shared" si="674"/>
        <v>42</v>
      </c>
      <c r="AB274" s="66">
        <f t="shared" si="675"/>
        <v>6.6</v>
      </c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</row>
    <row r="275" ht="15.75" customHeight="1">
      <c r="A275" s="72"/>
      <c r="B275" s="119" t="str">
        <f t="shared" ref="B275:C275" si="680">IF(B238="","",B238)</f>
        <v/>
      </c>
      <c r="C275" s="146" t="str">
        <f t="shared" si="680"/>
        <v>Сгибания рук с гантелями</v>
      </c>
      <c r="D275" s="75">
        <f>ROUND(IFERROR((D269*(G269*H269+K269*L269+O269*P269+S269*T269)+D270*(G270*H270+K270*L270+O270*P270+S270*T270)+D271*(G271*H271+K271*L271+O271*P271+S271*T271)+D272*(G272*H272+K272*L272+O272*P272+S272*T272)+D273*(G273*H273+K273*L273+O273*P273+S273*T273)+D274*(G274*H274+K274*L274+O274*P274+S274*T274))/((G269*H269+K269*L269+O269*P269+S269*T269)+(G270*H270+K270*L270+O270*P270+S270*T270)+(G271*H271+K271*L271+O271*P271+S271*T271)+(G272*H272+K272*L272+O272*P272+S272*T272)+(G273*H273+K273*L273+O273*P273+S273*T273)+(G274*H274+K274*L274+O274*P274+S274*T274)),0),2)</f>
        <v>0.6</v>
      </c>
      <c r="E275" s="121" t="str">
        <f t="shared" si="647"/>
        <v/>
      </c>
      <c r="F275" s="122"/>
      <c r="G275" s="123"/>
      <c r="H275" s="123"/>
      <c r="I275" s="124"/>
      <c r="J275" s="122"/>
      <c r="K275" s="123"/>
      <c r="L275" s="123"/>
      <c r="M275" s="124"/>
      <c r="N275" s="122"/>
      <c r="O275" s="123"/>
      <c r="P275" s="123"/>
      <c r="Q275" s="124"/>
      <c r="R275" s="122"/>
      <c r="S275" s="123"/>
      <c r="T275" s="123"/>
      <c r="U275" s="124"/>
      <c r="V275" s="125">
        <f>SUM(V269:V274)</f>
        <v>4981.2</v>
      </c>
      <c r="W275" s="82">
        <f>IFERROR(V275/AA275,0)</f>
        <v>18.44888889</v>
      </c>
      <c r="X275" s="83">
        <f>ROUND(IFERROR(((I269*G269*H269+M269*K269*L269+Q269*O269*P269+U269*S269*T269)+(I270*G270*H270+M270*K270*L270+Q270*O270*P270+U270*S270*T270)+(I271*G271*H271+M271*K271*L271+Q271*O271*P271+U271*S271*T271)+(I272*G272*H272+M272*K272*L272+Q272*O272*P272+U272*S272*T272)+(I273*G273*H273+M273*K273*L273+Q273*O273*P273+U273*S273*T273)+(I274*G274*H274+M274*K274*L274+Q274*O274*P274+U274*S274*T274))/((G269*H269+K269*L269+O269*P269+S269*T269)+(G270*H270+K270*L270+O270*P270+S270*T270)+(G271*H271+K271*L271+O271*P271+S271*T271)+(G272*H272+K272*L272+O272*P272+S272*T272)+(G273*H273+K273*L273+O273*P273+S273*T273)+(G274*H274+K274*L274+O274*P274+S274*T274)),0),3)</f>
        <v>0.525</v>
      </c>
      <c r="Y275" s="84"/>
      <c r="Z275" s="82" t="str">
        <f t="shared" ref="Z275:AA275" si="681">SUM(Z269:Z274)</f>
        <v>#REF!</v>
      </c>
      <c r="AA275" s="85">
        <f t="shared" si="681"/>
        <v>270</v>
      </c>
      <c r="AB275" s="86">
        <f>IF(SUM(AB269:AB274)=0,TIME(,0,),TIME(,SUM(AB269:AB274)+30,))</f>
        <v>0.075</v>
      </c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</row>
    <row r="276" ht="15.75" customHeight="1">
      <c r="A276" s="126" t="s">
        <v>36</v>
      </c>
      <c r="B276" s="127" t="str">
        <f t="shared" ref="B276:C276" si="682">IF(B239="","",B239)</f>
        <v>Тяжелая</v>
      </c>
      <c r="C276" s="176" t="str">
        <f t="shared" si="682"/>
        <v>Ягодичный мост</v>
      </c>
      <c r="D276" s="29">
        <f t="shared" ref="D276:D281" si="684">D239</f>
        <v>1.3</v>
      </c>
      <c r="E276" s="129" t="str">
        <f t="shared" si="647"/>
        <v/>
      </c>
      <c r="F276" s="31">
        <f t="shared" ref="F276:F281" si="685">IF(I276&lt;&gt;0,(IFERROR(IF($Y276&gt;50,MROUND($Y276*I276,2.5),IF($Y276&lt;15,MROUND($Y276*I276,0.1),MROUND($Y276*I276,1))),)),"")</f>
        <v>47.5</v>
      </c>
      <c r="G276" s="32">
        <v>12.0</v>
      </c>
      <c r="H276" s="32">
        <v>1.0</v>
      </c>
      <c r="I276" s="33">
        <v>0.45</v>
      </c>
      <c r="J276" s="31">
        <f t="shared" ref="J276:J281" si="686">IF(M276&lt;&gt;0,(IFERROR(IF($Y276&gt;50,MROUND($Y276*M276,2.5),IF($Y276&lt;15,MROUND($Y276*M276,0.1),MROUND($Y276*M276,1))),)),"")</f>
        <v>60</v>
      </c>
      <c r="K276" s="32">
        <v>15.0</v>
      </c>
      <c r="L276" s="32">
        <v>1.0</v>
      </c>
      <c r="M276" s="33">
        <v>0.55</v>
      </c>
      <c r="N276" s="31" t="str">
        <f t="shared" ref="N276:N281" si="687">IF(Q276&lt;&gt;0,(IFERROR(IF($Y276&gt;50,MROUND($Y276*Q276,2.5),IF($Y276&lt;15,MROUND($Y276*Q276,0.1),MROUND($Y276*Q276,1))),)),"")</f>
        <v/>
      </c>
      <c r="O276" s="32"/>
      <c r="P276" s="32"/>
      <c r="Q276" s="33">
        <v>0.0</v>
      </c>
      <c r="R276" s="31" t="str">
        <f t="shared" ref="R276:R281" si="688">IF(U276&lt;&gt;0,(IFERROR(IF($Y276&gt;50,MROUND($Y276*U276,2.5),IF($Y276&lt;15,MROUND($Y276*U276,0.1),MROUND($Y276*U276,1))),)),"")</f>
        <v/>
      </c>
      <c r="S276" s="32"/>
      <c r="T276" s="32"/>
      <c r="U276" s="33">
        <v>0.0</v>
      </c>
      <c r="V276" s="130">
        <f t="shared" ref="V276:V281" si="689">(IF(ISNUMBER(F276),F276,1)*G276*H276+IF(ISNUMBER(J276),J276,1)*K276*L276+IF(ISNUMBER(N276),N276,1)*O276*P276+IF(ISNUMBER(R276),R276,1)*S276*T276)*IF(ISNUMBER(E276),E276,1)</f>
        <v>1470</v>
      </c>
      <c r="W276" s="36">
        <f t="shared" ref="W276:W281" si="690">IFERROR((IF(ISNUMBER(F276),F276,1)*G276*H276+IF(ISNUMBER(J276),J276,1)*K276*L276+IF(ISNUMBER(N276),N276,1)*O276*P276+IF(ISNUMBER(R276),R276,1)*S276*T276)*IF(ISNUMBER(E276),E276,1)/(G276*H276+K276*L276+O276*P276+S276*T276),0)</f>
        <v>54.44444444</v>
      </c>
      <c r="X276" s="34">
        <f t="shared" ref="X276:X281" si="691">ROUND(IFERROR((W276/(Y276*IF(ISNUMBER(E276),E276,1))),0),2)</f>
        <v>0.51</v>
      </c>
      <c r="Y276" s="37">
        <f t="shared" ref="Y276:Y281" si="692">IF(ISNUMBER(Y239), Y239+(Y239*$Y$260),"")</f>
        <v>107.2135352</v>
      </c>
      <c r="Z276" s="36" t="str">
        <f t="shared" ref="Z276:Z281" si="693">(IF(I276&lt;30%,0,IF(I276&lt;35%,F276*G276*H276*F!$B$33,IF(I276&lt;40%,F276*G276*H276*F!$B$38,IF(I276&lt;45%,F276*G276*H276*F!$B$43,IF(I276&lt;50%,F276*G276*H276*F!$B$48,IF(I276=50%,F276*G276*H276*F!$B$50,IF(I276=51%,F276*G276*H276*F!$B$51,IF(I276=52%,F276*G276*H276*F!$B$52,IF(I276=53%,F276*G276*H276*F!$B$53,IF(I276=54%,F276*G276*H276*F!$B$54,IF(I276=55%,F276*G276*H276*F!$B$55,IF(I276=56%,F276*G276*H276*F!$B$56,IF(I276=57%,F276*G276*H276*F!$B$57,IF(I276=58%,F276*G276*H276*F!$B$58,IF(I276=59%,F276*G276*H276*F!$B$59,IF(I276=60%,F276*G276*H276*F!$B$60,IF(I276=61%,F276*G276*H276*F!$B$61,IF(I276=62%,F276*G276*H276*F!$B$62,IF(I276=63%,F276*G276*H276*F!$B$63,IF(I276=64%,F276*G276*H276*F!$B$64,IF(I276=65%,F276*G276*H276*F!$B$65,IF(I276=66%,F276*G276*H276*F!$B$66,IF(I276=67%,F276*G276*H276*F!$B$67,IF(I276=68%,F276*G276*H276*F!$B$68,IF(I276=69%,F276*G276*H276*F!$B$69,IF(I276=70%,F276*G276*H276*F!$B$70,IF(I276=71%,F276*G276*H276*F!$B$71,IF(I276=72%,F276*G276*H276*F!$B$72,IF(I276=73%,F276*G276*H276*F!$B$73,IF(I276=74%,F276*G276*H276*F!$B$74,IF(I276=75%,F276*G276*H276*F!$B$75,IF(I276=76%,F276*G276*H276*F!$B$76,IF(I276=77%,F276*G276*H276*F!$B$77,IF(I276=78%,F276*G276*H276*F!$B$78,IF(I276=79%,F276*G276*H276*F!$B$79,IF(I276=80%,F276*G276*H276*F!$B$80,IF(I276=81%,F276*G276*H276*F!$B$81,IF(I276=82%,F276*G276*H276*F!$B$82,IF(I276=83%,F276*G276*H276*F!$B$83,IF(I276=84%,F276*G276*H276*F!$B$84,IF(I276=85%,F276*G276*H276*F!$B$85,IF(I276=86%,F276*G276*H276*F!$B$86,IF(I276=87%,F276*G276*H276*F!$B$87,IF(I276=88%,F276*G276*H276*F!$B$88,IF(I276=89%,F276*G276*H276*F!$B$89,IF(I276=90%,F276*G276*H276*F!$B$90,IF(I276=91%,F276*G276*H276*F!$B$91,IF(I276=92%,F276*G276*H276*F!$B$92,IF(I276=93%,F276*G276*H276*F!$B$93,IF(I276=94%,F276*G276*H276*F!$B$94,IF(I276=95%,F276*G276*H276*F!$B$95,IF(I276=96%,F276*G276*H276*F!$B$96,IF(I276=97%,F276*G276*H276*F!$B$97,IF(I276=98%,F276*G276*H276*F!$B$98,IF(I276=99%,F276*G276*H276*F!$B$99,IF(I276&gt;99%,F276*G276*H276*F!$B$100,))))))))))))))))))))))))))))))))))))))))))))))))))))))))+IF(M276&lt;30%,0,IF(M276&lt;35%,J276*K276*L276*F!$B$33,IF(M276&lt;40%,J276*K276*L276*F!$B$38,IF(M276&lt;45%,J276*K276*L276*F!$B$43,IF(M276&lt;50%,J276*K276*L276*F!$B$48,IF(M276=50%,J276*K276*L276*F!$B$50,IF(M276=51%,J276*K276*L276*F!$B$51,IF(M276=52%,J276*K276*L276*F!$B$52,IF(M276=53%,J276*K276*L276*F!$B$53,IF(M276=54%,J276*K276*L276*F!$B$54,IF(M276=55%,J276*K276*L276*F!$B$55,IF(M276=56%,J276*K276*L276*F!$B$56,IF(M276=57%,J276*K276*L276*F!$B$57,IF(M276=58%,J276*K276*L276*F!$B$58,IF(M276=59%,J276*K276*L276*F!$B$59,IF(M276=60%,J276*K276*L276*F!$B$60,IF(M276=61%,J276*K276*L276*F!$B$61,IF(M276=62%,J276*K276*L276*F!$B$62,IF(M276=63%,J276*K276*L276*F!$B$63,IF(M276=64%,J276*K276*L276*F!$B$64,IF(M276=65%,J276*K276*L276*F!$B$65,IF(M276=66%,J276*K276*L276*F!$B$66,IF(M276=67%,J276*K276*L276*F!$B$67,IF(M276=68%,J276*K276*L276*F!$B$68,IF(M276=69%,J276*K276*L276*F!$B$69,IF(M276=70%,J276*K276*L276*F!$B$70,IF(M276=71%,J276*K276*L276*F!$B$71,IF(M276=72%,J276*K276*L276*F!$B$72,IF(M276=73%,J276*K276*L276*F!$B$73,IF(M276=74%,J276*K276*L276*F!$B$74,IF(M276=75%,J276*K276*L276*F!$B$75,IF(M276=76%,J276*K276*L276*F!$B$76,IF(M276=77%,J276*K276*L276*F!$B$77,IF(M276=78%,J276*K276*L276*F!$B$78,IF(M276=79%,J276*K276*L276*F!$B$79,IF(M276=80%,J276*K276*L276*F!$B$80,IF(M276=81%,J276*K276*L276*F!$B$81,IF(M276=82%,J276*K276*L276*F!$B$82,IF(M276=83%,J276*K276*L276*F!$B$83,IF(M276=84%,J276*K276*L276*F!$B$84,IF(M276=85%,J276*K276*L276*F!$B$85,IF(M276=86%,J276*K276*L276*F!$B$86,IF(M276=87%,J276*K276*L276*F!$B$87,IF(M276=88%,J276*K276*L276*F!$B$88,IF(M276=89%,J276*K276*L276*F!$B$89,IF(M276=90%,J276*K276*L276*F!$B$90,IF(M276=91%,J276*K276*L276*F!$B$91,IF(M276=92%,J276*K276*L276*F!$B$92,IF(M276=93%,J276*K276*L276*F!$B$93,IF(M276=94%,J276*K276*L276*F!$B$94,IF(M276=95%,J276*K276*L276*F!$B$95,IF(M276=96%,J276*K276*L276*F!$B$96,IF(M276=97%,J276*K276*L276*F!$B$97,IF(M276=98%,J276*K276*L276*F!$B$98,IF(M276=99%,J276*K276*L276*F!$B$99,IF(M276&gt;99%,J276*K276*L276*F!$B$100,))))))))))))))))))))))))))))))))))))))))))))))))))))))))+IF(Q276&lt;30%,0,IF(Q276&lt;35%,N276*O276*P276*F!$B$33,IF(Q276&lt;40%,N276*O276*P276*F!$B$38,IF(Q276&lt;45%,N276*O276*P276*F!$B$43,IF(Q276&lt;50%,N276*O276*P276*F!$B$48,IF(Q276=50%,N276*O276*P276*F!$B$50,IF(Q276=51%,N276*O276*P276*F!$B$51,IF(Q276=52%,N276*O276*P276*F!$B$52,IF(Q276=53%,N276*O276*P276*F!$B$53,IF(Q276=54%,N276*O276*P276*F!$B$54,IF(Q276=55%,N276*O276*P276*F!$B$55,IF(Q276=56%,N276*O276*P276*F!$B$56,IF(Q276=57%,N276*O276*P276*F!$B$57,IF(Q276=58%,N276*O276*P276*F!$B$58,IF(Q276=59%,N276*O276*P276*F!$B$59,IF(Q276=60%,N276*O276*P276*F!$B$60,IF(Q276=61%,N276*O276*P276*F!$B$61,IF(Q276=62%,N276*O276*P276*F!$B$62,IF(Q276=63%,N276*O276*P276*F!$B$63,IF(Q276=64%,N276*O276*P276*F!$B$64,IF(Q276=65%,N276*O276*P276*F!$B$65,IF(Q276=66%,N276*O276*P276*F!$B$66,IF(Q276=67%,N276*O276*P276*F!$B$67,IF(Q276=68%,N276*O276*P276*F!$B$68,IF(Q276=69%,N276*O276*P276*F!$B$69,IF(Q276=70%,N276*O276*P276*F!$B$70,IF(Q276=71%,N276*O276*P276*F!$B$71,IF(Q276=72%,N276*O276*P276*F!$B$72,IF(Q276=73%,N276*O276*P276*F!$B$73,IF(Q276=74%,N276*O276*P276*F!$B$74,IF(Q276=75%,N276*O276*P276*F!$B$75,IF(Q276=76%,N276*O276*P276*F!$B$76,IF(Q276=77%,N276*O276*P276*F!$B$77,IF(Q276=78%,N276*O276*P276*F!$B$78,IF(Q276=79%,N276*O276*P276*F!$B$79,IF(Q276=80%,N276*O276*P276*F!$B$80,IF(Q276=81%,N276*O276*P276*F!$B$81,IF(Q276=82%,N276*O276*P276*F!$B$82,IF(Q276=83%,N276*O276*P276*F!$B$83,IF(Q276=84%,N276*O276*P276*F!$B$84,IF(Q276=85%,N276*O276*P276*F!$B$85,IF(Q276=86%,N276*O276*P276*F!$B$86,IF(Q276=87%,N276*O276*P276*F!$B$87,IF(Q276=88%,N276*O276*P276*F!$B$88,IF(Q276=89%,N276*O276*P276*F!$B$89,IF(Q276=90%,N276*O276*P276*F!$B$90,IF(Q276=91%,N276*O276*P276*F!$B$91,IF(Q276=92%,N276*O276*P276*F!$B$92,IF(Q276=93%,N276*O276*P276*F!$B$93,IF(Q276=94%,N276*O276*P276*F!$B$94,IF(Q276=95%,N276*O276*P276*F!$B$95,IF(Q276=96%,N276*O276*P276*F!$B$96,IF(Q276=97%,N276*O276*P276*F!$B$97,IF(Q276=98%,N276*O276*P276*F!$B$98,IF(Q276=99%,N276*O276*P276*F!$B$99,IF(Q276&gt;99%,N276*O276*P276*F!$B$100,))))))))))))))))))))))))))))))))))))))))))))))))))))))))+IF(U276&lt;30%,0,IF(U276&lt;35%,R276*S276*T276*F!$B$33,IF(U276&lt;40%,R276*S276*T276*F!$B$38,IF(U276&lt;45%,R276*S276*T276*F!$B$43,IF(U276&lt;50%,R276*S276*T276*F!$B$48,IF(U276=50%,R276*S276*T276*F!$B$50,IF(U276=51%,R276*S276*T276*F!$B$51,IF(U276=52%,R276*S276*T276*F!$B$52,IF(U276=53%,R276*S276*T276*F!$B$53,IF(U276=54%,R276*S276*T276*F!$B$54,IF(U276=55%,R276*S276*T276*F!$B$55,IF(U276=56%,R276*S276*T276*F!$B$56,IF(U276=57%,R276*S276*T276*F!$B$57,IF(U276=58%,R276*S276*T276*F!$B$58,IF(U276=59%,R276*S276*T276*F!$B$59,IF(U276=60%,R276*S276*T276*F!$B$60,IF(U276=61%,R276*S276*T276*F!$B$61,IF(U276=62%,R276*S276*T276*F!$B$62,IF(U276=63%,R276*S276*T276*F!$B$63,IF(U276=64%,R276*S276*T276*F!$B$64,IF(U276=65%,R276*S276*T276*F!$B$65,IF(U276=66%,R276*S276*T276*F!$B$66,IF(U276=67%,R276*S276*T276*F!$B$67,IF(U276=68%,R276*S276*T276*F!$B$68,IF(U276=69%,R276*S276*T276*F!$B$69,IF(U276=70%,R276*S276*T276*F!$B$70,IF(U276=71%,R276*S276*T276*F!$B$71,IF(U276=72%,R276*S276*T276*F!$B$72,IF(U276=73%,R276*S276*T276*F!$B$73,IF(U276=74%,R276*S276*T276*F!$B$74,IF(U276=75%,R276*S276*T276*F!$B$75,IF(U276=76%,R276*S276*T276*F!$B$76,IF(U276=77%,R276*S276*T276*F!$B$77,IF(U276=78%,R276*S276*T276*F!$B$78,IF(U276=79%,R276*S276*T276*F!$B$79,IF(U276=80%,R276*S276*T276*F!$B$80,IF(U276=81%,R276*S276*T276*F!$B$81,IF(U276=82%,R276*S276*T276*F!$B$82,IF(U276=83%,R276*S276*T276*F!$B$83,IF(U276=84%,R276*S276*T276*F!$B$84,IF(U276=85%,R276*S276*T276*F!$B$85,IF(U276=86%,R276*S276*T276*F!$B$86,IF(U276=87%,R276*S276*T276*F!$B$87,IF(U276=88%,R276*S276*T276*F!$B$88,IF(U276=89%,R276*S276*T276*F!$B$89,IF(U276=90%,R276*S276*T276*F!$B$90,IF(U276=91%,R276*S276*T276*F!$B$91,IF(U276=92%,R276*S276*T276*F!$B$92,IF(U276=93%,R276*S276*T276*F!$B$93,IF(U276=94%,R276*S276*T276*F!$B$94,IF(U276=95%,R276*S276*T276*F!$B$95,IF(U276=96%,R276*S276*T276*F!$B$96,IF(U276=97%,R276*S276*T276*F!$B$97,IF(U276=98%,R276*S276*T276*F!$B$98,IF(U276=99%,R276*S276*T276*F!$B$99,IF(U276&gt;99%,R276*S276*T276*F!$B$100)))))))))))))))))))))))))))))))))))))))))))))))))))))))))*IF(ISNUMBER(E276),E276,1)*IF(ISNUMBER(D276),D276,1)</f>
        <v>#REF!</v>
      </c>
      <c r="AA276" s="32">
        <f t="shared" ref="AA276:AA281" si="694">G276*H276+K276*L276+O276*P276+S276*T276</f>
        <v>27</v>
      </c>
      <c r="AB276" s="38">
        <f t="shared" ref="AB276:AB281" si="695">(H276*(IF(I276&lt;45%,0.5,IF(I276&lt;55%,0.8,IF(I276&lt;65%,0.9,IF(I276&lt;75%,1,IF(I276&lt;85%,1.1,1.2))))))+L276*(IF(M276&lt;45%,0.5,IF(M276&lt;55%,0.8,IF(M276&lt;65%,0.9,IF(M276&lt;75%,1,IF(M276&lt;85%,1.1,1.2))))))+P276*(IF(Q276&lt;45%,0.5,IF(Q276&lt;55%,0.8,IF(Q276&lt;65%,0.9,IF(Q276&lt;75%,1,IF(Q276&lt;85%,1.1,1.2))))))+T276*(IF(U276&lt;45%,0.5,IF(U276&lt;55%,0.8,IF(U276&lt;65%,0.9,IF(U276&lt;75%,1,IF(U276&lt;85%,1.1,1.2)))))))*IF(D276&gt;=0.8,6,IF(D276&lt;=0.4,1.5,3))</f>
        <v>10.2</v>
      </c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</row>
    <row r="277" ht="15.0" customHeight="1">
      <c r="A277" s="43">
        <f>A270+2</f>
        <v>42384</v>
      </c>
      <c r="B277" s="131" t="str">
        <f t="shared" ref="B277:C277" si="683">IF(B240="","",B240)</f>
        <v>Легкая</v>
      </c>
      <c r="C277" s="177" t="str">
        <f t="shared" si="683"/>
        <v>Зашагивания на платформу</v>
      </c>
      <c r="D277" s="46">
        <f t="shared" si="684"/>
        <v>1</v>
      </c>
      <c r="E277" s="133" t="str">
        <f t="shared" si="647"/>
        <v/>
      </c>
      <c r="F277" s="48">
        <f t="shared" si="685"/>
        <v>0</v>
      </c>
      <c r="G277" s="49">
        <v>12.0</v>
      </c>
      <c r="H277" s="49">
        <v>4.0</v>
      </c>
      <c r="I277" s="50">
        <v>0.3</v>
      </c>
      <c r="J277" s="48" t="str">
        <f t="shared" si="686"/>
        <v/>
      </c>
      <c r="K277" s="49"/>
      <c r="L277" s="49"/>
      <c r="M277" s="50">
        <v>0.0</v>
      </c>
      <c r="N277" s="48" t="str">
        <f t="shared" si="687"/>
        <v/>
      </c>
      <c r="O277" s="49"/>
      <c r="P277" s="49"/>
      <c r="Q277" s="50">
        <v>0.0</v>
      </c>
      <c r="R277" s="48" t="str">
        <f t="shared" si="688"/>
        <v/>
      </c>
      <c r="S277" s="49"/>
      <c r="T277" s="49"/>
      <c r="U277" s="50">
        <v>0.0</v>
      </c>
      <c r="V277" s="134">
        <f t="shared" si="689"/>
        <v>0</v>
      </c>
      <c r="W277" s="53">
        <f t="shared" si="690"/>
        <v>0</v>
      </c>
      <c r="X277" s="54">
        <f t="shared" si="691"/>
        <v>0</v>
      </c>
      <c r="Y277" s="137">
        <f t="shared" si="692"/>
        <v>0</v>
      </c>
      <c r="Z277" s="53" t="str">
        <f t="shared" si="693"/>
        <v>#REF!</v>
      </c>
      <c r="AA277" s="49">
        <f t="shared" si="694"/>
        <v>48</v>
      </c>
      <c r="AB277" s="56">
        <f t="shared" si="695"/>
        <v>12</v>
      </c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</row>
    <row r="278" ht="15.75" customHeight="1">
      <c r="A278" s="57"/>
      <c r="B278" s="135" t="str">
        <f t="shared" ref="B278:C278" si="696">IF(B241="","",B241)</f>
        <v>Средняя</v>
      </c>
      <c r="C278" s="177" t="str">
        <f t="shared" si="696"/>
        <v>Разведение ног</v>
      </c>
      <c r="D278" s="46">
        <f t="shared" si="684"/>
        <v>0.5</v>
      </c>
      <c r="E278" s="133">
        <f t="shared" si="647"/>
        <v>5</v>
      </c>
      <c r="F278" s="59">
        <f t="shared" si="685"/>
        <v>4.8</v>
      </c>
      <c r="G278" s="60">
        <v>10.0</v>
      </c>
      <c r="H278" s="60">
        <v>1.0</v>
      </c>
      <c r="I278" s="61">
        <v>0.45</v>
      </c>
      <c r="J278" s="59">
        <f t="shared" si="686"/>
        <v>6.2</v>
      </c>
      <c r="K278" s="60">
        <v>8.0</v>
      </c>
      <c r="L278" s="60">
        <v>4.0</v>
      </c>
      <c r="M278" s="61">
        <v>0.58</v>
      </c>
      <c r="N278" s="59" t="str">
        <f t="shared" si="687"/>
        <v/>
      </c>
      <c r="O278" s="60"/>
      <c r="P278" s="60"/>
      <c r="Q278" s="61">
        <v>0.0</v>
      </c>
      <c r="R278" s="59" t="str">
        <f t="shared" si="688"/>
        <v/>
      </c>
      <c r="S278" s="60"/>
      <c r="T278" s="60"/>
      <c r="U278" s="61">
        <v>0.0</v>
      </c>
      <c r="V278" s="104">
        <f t="shared" si="689"/>
        <v>1232</v>
      </c>
      <c r="W278" s="64">
        <f t="shared" si="690"/>
        <v>29.33333333</v>
      </c>
      <c r="X278" s="65">
        <f t="shared" si="691"/>
        <v>0.55</v>
      </c>
      <c r="Y278" s="137">
        <f t="shared" si="692"/>
        <v>10.72135352</v>
      </c>
      <c r="Z278" s="64" t="str">
        <f t="shared" si="693"/>
        <v>#REF!</v>
      </c>
      <c r="AA278" s="60">
        <f t="shared" si="694"/>
        <v>42</v>
      </c>
      <c r="AB278" s="66">
        <f t="shared" si="695"/>
        <v>13.2</v>
      </c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</row>
    <row r="279" ht="15.75" customHeight="1">
      <c r="A279" s="57"/>
      <c r="B279" s="135" t="s">
        <v>18</v>
      </c>
      <c r="C279" s="177" t="str">
        <f t="shared" ref="C279:C281" si="697">IF(C242="","",C242)</f>
        <v>Жим гантелй лежа</v>
      </c>
      <c r="D279" s="46">
        <f t="shared" si="684"/>
        <v>0.4</v>
      </c>
      <c r="E279" s="133">
        <f t="shared" si="647"/>
        <v>2</v>
      </c>
      <c r="F279" s="48">
        <f t="shared" si="685"/>
        <v>6</v>
      </c>
      <c r="G279" s="49">
        <v>12.0</v>
      </c>
      <c r="H279" s="49">
        <v>1.0</v>
      </c>
      <c r="I279" s="50">
        <v>0.47</v>
      </c>
      <c r="J279" s="48">
        <f t="shared" si="686"/>
        <v>7.7</v>
      </c>
      <c r="K279" s="49">
        <v>8.0</v>
      </c>
      <c r="L279" s="49">
        <v>3.0</v>
      </c>
      <c r="M279" s="50">
        <v>0.6</v>
      </c>
      <c r="N279" s="48" t="str">
        <f t="shared" si="687"/>
        <v/>
      </c>
      <c r="O279" s="49"/>
      <c r="P279" s="49"/>
      <c r="Q279" s="50">
        <v>0.0</v>
      </c>
      <c r="R279" s="48" t="str">
        <f t="shared" si="688"/>
        <v/>
      </c>
      <c r="S279" s="49"/>
      <c r="T279" s="49"/>
      <c r="U279" s="50">
        <v>0.0</v>
      </c>
      <c r="V279" s="134">
        <f t="shared" si="689"/>
        <v>513.6</v>
      </c>
      <c r="W279" s="53">
        <f t="shared" si="690"/>
        <v>14.26666667</v>
      </c>
      <c r="X279" s="54">
        <f t="shared" si="691"/>
        <v>0.55</v>
      </c>
      <c r="Y279" s="137">
        <f t="shared" si="692"/>
        <v>12.86562423</v>
      </c>
      <c r="Z279" s="53" t="str">
        <f t="shared" si="693"/>
        <v>#REF!</v>
      </c>
      <c r="AA279" s="49">
        <f t="shared" si="694"/>
        <v>36</v>
      </c>
      <c r="AB279" s="56">
        <f t="shared" si="695"/>
        <v>5.25</v>
      </c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</row>
    <row r="280" ht="15.75" customHeight="1">
      <c r="A280" s="57"/>
      <c r="B280" s="135" t="s">
        <v>18</v>
      </c>
      <c r="C280" s="177" t="str">
        <f t="shared" si="697"/>
        <v>Ходьба выпадами</v>
      </c>
      <c r="D280" s="46">
        <f t="shared" si="684"/>
        <v>0.4</v>
      </c>
      <c r="E280" s="133">
        <f t="shared" si="647"/>
        <v>2</v>
      </c>
      <c r="F280" s="59">
        <f t="shared" si="685"/>
        <v>8</v>
      </c>
      <c r="G280" s="60">
        <v>10.0</v>
      </c>
      <c r="H280" s="60">
        <v>2.0</v>
      </c>
      <c r="I280" s="61">
        <v>0.5</v>
      </c>
      <c r="J280" s="59">
        <f t="shared" si="686"/>
        <v>10</v>
      </c>
      <c r="K280" s="60">
        <v>8.0</v>
      </c>
      <c r="L280" s="60">
        <v>4.0</v>
      </c>
      <c r="M280" s="61">
        <v>0.6</v>
      </c>
      <c r="N280" s="59" t="str">
        <f t="shared" si="687"/>
        <v/>
      </c>
      <c r="O280" s="60"/>
      <c r="P280" s="60"/>
      <c r="Q280" s="61">
        <v>0.0</v>
      </c>
      <c r="R280" s="59" t="str">
        <f t="shared" si="688"/>
        <v/>
      </c>
      <c r="S280" s="60"/>
      <c r="T280" s="60"/>
      <c r="U280" s="61">
        <v>0.0</v>
      </c>
      <c r="V280" s="104">
        <f t="shared" si="689"/>
        <v>960</v>
      </c>
      <c r="W280" s="64">
        <f t="shared" si="690"/>
        <v>18.46153846</v>
      </c>
      <c r="X280" s="62">
        <f t="shared" si="691"/>
        <v>0.57</v>
      </c>
      <c r="Y280" s="137">
        <f t="shared" si="692"/>
        <v>16.08203028</v>
      </c>
      <c r="Z280" s="64" t="str">
        <f t="shared" si="693"/>
        <v>#REF!</v>
      </c>
      <c r="AA280" s="60">
        <f t="shared" si="694"/>
        <v>52</v>
      </c>
      <c r="AB280" s="66">
        <f t="shared" si="695"/>
        <v>7.8</v>
      </c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</row>
    <row r="281" ht="15.75" customHeight="1">
      <c r="A281" s="57"/>
      <c r="B281" s="135" t="s">
        <v>18</v>
      </c>
      <c r="C281" s="177" t="str">
        <f t="shared" si="697"/>
        <v>Гиперэкстензия на ягодицы</v>
      </c>
      <c r="D281" s="46">
        <f t="shared" si="684"/>
        <v>0.4</v>
      </c>
      <c r="E281" s="133" t="str">
        <f t="shared" si="647"/>
        <v/>
      </c>
      <c r="F281" s="48">
        <f t="shared" si="685"/>
        <v>14</v>
      </c>
      <c r="G281" s="49">
        <v>12.0</v>
      </c>
      <c r="H281" s="49">
        <v>2.0</v>
      </c>
      <c r="I281" s="50">
        <v>0.45</v>
      </c>
      <c r="J281" s="48">
        <f t="shared" si="686"/>
        <v>17</v>
      </c>
      <c r="K281" s="49">
        <v>10.0</v>
      </c>
      <c r="L281" s="49">
        <v>2.0</v>
      </c>
      <c r="M281" s="50">
        <v>0.52</v>
      </c>
      <c r="N281" s="48" t="str">
        <f t="shared" si="687"/>
        <v/>
      </c>
      <c r="O281" s="49"/>
      <c r="P281" s="49"/>
      <c r="Q281" s="50">
        <v>0.0</v>
      </c>
      <c r="R281" s="48" t="str">
        <f t="shared" si="688"/>
        <v/>
      </c>
      <c r="S281" s="49"/>
      <c r="T281" s="49"/>
      <c r="U281" s="50">
        <v>0.0</v>
      </c>
      <c r="V281" s="134">
        <f t="shared" si="689"/>
        <v>676</v>
      </c>
      <c r="W281" s="53">
        <f t="shared" si="690"/>
        <v>15.36363636</v>
      </c>
      <c r="X281" s="54">
        <f t="shared" si="691"/>
        <v>0.48</v>
      </c>
      <c r="Y281" s="137">
        <f t="shared" si="692"/>
        <v>32.16406056</v>
      </c>
      <c r="Z281" s="53" t="str">
        <f t="shared" si="693"/>
        <v>#REF!</v>
      </c>
      <c r="AA281" s="49">
        <f t="shared" si="694"/>
        <v>44</v>
      </c>
      <c r="AB281" s="56">
        <f t="shared" si="695"/>
        <v>4.8</v>
      </c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</row>
    <row r="282" ht="15.75" customHeight="1">
      <c r="A282" s="72"/>
      <c r="B282" s="138" t="str">
        <f t="shared" ref="B282:C282" si="698">IF(B245="","",B245)</f>
        <v/>
      </c>
      <c r="C282" s="178" t="str">
        <f t="shared" si="698"/>
        <v>Скручивания (пресс)</v>
      </c>
      <c r="D282" s="75">
        <f>ROUND(IFERROR((D276*(G276*H276+K276*L276+O276*P276+S276*T276)+D277*(G277*H277+K277*L277+O277*P277+S277*T277)+D278*(G278*H278+K278*L278+O278*P278+S278*T278)+D279*(G279*H279+K279*L279+O279*P279+S279*T279)+D280*(G280*H280+K280*L280+O280*P280+S280*T280)+D281*(G281*H281+K281*L281+O281*P281+S281*T281))/((G276*H276+K276*L276+O276*P276+S276*T276)+(G277*H277+K277*L277+O277*P277+S277*T277)+(G278*H278+K278*L278+O278*P278+S278*T278)+(G279*H279+K279*L279+O279*P279+S279*T279)+(G280*H280+K280*L280+O280*P280+S280*T280)+(G281*H281+K281*L281+O281*P281+S281*T281)),0),2)</f>
        <v>0.63</v>
      </c>
      <c r="E282" s="140" t="str">
        <f t="shared" si="647"/>
        <v/>
      </c>
      <c r="F282" s="77"/>
      <c r="G282" s="78"/>
      <c r="H282" s="78"/>
      <c r="I282" s="79"/>
      <c r="J282" s="77"/>
      <c r="K282" s="78"/>
      <c r="L282" s="78"/>
      <c r="M282" s="79"/>
      <c r="N282" s="77"/>
      <c r="O282" s="78"/>
      <c r="P282" s="78"/>
      <c r="Q282" s="79"/>
      <c r="R282" s="77"/>
      <c r="S282" s="78"/>
      <c r="T282" s="78"/>
      <c r="U282" s="79"/>
      <c r="V282" s="125">
        <f>SUM(V276:V281)</f>
        <v>4851.6</v>
      </c>
      <c r="W282" s="82">
        <f>IFERROR(V282/AA282,0)</f>
        <v>19.48433735</v>
      </c>
      <c r="X282" s="83">
        <f>ROUND(IFERROR(((I276*G276*H276+M276*K276*L276+Q276*O276*P276+U276*S276*T276)+(I277*G277*H277+M277*K277*L277+Q277*O277*P277+U277*S277*T277)+(I278*G278*H278+M278*K278*L278+Q278*O278*P278+U278*S278*T278)+(I279*G279*H279+M279*K279*L279+Q279*O279*P279+U279*S279*T279)+(I280*G280*H280+M280*K280*L280+Q280*O280*P280+U280*S280*T280)+(I281*G281*H281+M281*K281*L281+Q281*O281*P281+U281*S281*T281))/((G276*H276+K276*L276+O276*P276+S276*T276)+(G277*H277+K277*L277+O277*P277+S277*T277)+(G278*H278+K278*L278+O278*P278+S278*T278)+(G279*H279+K279*L279+O279*P279+S279*T279)+(G280*H280+K280*L280+O280*P280+S280*T280)+(G281*H281+K281*L281+O281*P281+S281*T281)),0),3)</f>
        <v>0.488</v>
      </c>
      <c r="Y282" s="84"/>
      <c r="Z282" s="82" t="str">
        <f t="shared" ref="Z282:AA282" si="699">SUM(Z276:Z281)</f>
        <v>#REF!</v>
      </c>
      <c r="AA282" s="85">
        <f t="shared" si="699"/>
        <v>249</v>
      </c>
      <c r="AB282" s="86">
        <f>IF(SUM(AB276:AB281)=0,TIME(,0,),TIME(,SUM(AB276:AB281)+30,))</f>
        <v>0.05763888889</v>
      </c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</row>
    <row r="283" ht="15.75" hidden="1" customHeight="1">
      <c r="A283" s="88" t="s">
        <v>44</v>
      </c>
      <c r="B283" s="89" t="str">
        <f t="shared" ref="B283:C283" si="700">IF(B246="","",B246)</f>
        <v/>
      </c>
      <c r="C283" s="141" t="str">
        <f t="shared" si="700"/>
        <v/>
      </c>
      <c r="D283" s="29" t="str">
        <f t="shared" ref="D283:D288" si="702">D246</f>
        <v/>
      </c>
      <c r="E283" s="91" t="str">
        <f t="shared" si="647"/>
        <v/>
      </c>
      <c r="F283" s="92"/>
      <c r="G283" s="93"/>
      <c r="H283" s="93"/>
      <c r="I283" s="94" t="str">
        <f t="shared" ref="I283:I288" si="703">IFERROR(ROUND(F283/$Y283,2),)</f>
        <v/>
      </c>
      <c r="J283" s="92"/>
      <c r="K283" s="93"/>
      <c r="L283" s="93"/>
      <c r="M283" s="94" t="str">
        <f t="shared" ref="M283:M288" si="704">IFERROR(ROUND(J283/$Y283,2),)</f>
        <v/>
      </c>
      <c r="N283" s="92"/>
      <c r="O283" s="93"/>
      <c r="P283" s="93"/>
      <c r="Q283" s="94" t="str">
        <f t="shared" ref="Q283:Q288" si="705">IFERROR(ROUND(N283/$Y283,2),)</f>
        <v/>
      </c>
      <c r="R283" s="92"/>
      <c r="S283" s="93"/>
      <c r="T283" s="93"/>
      <c r="U283" s="94" t="str">
        <f t="shared" ref="U283:U288" si="706">IFERROR(ROUND(R283/$Y283,2),)</f>
        <v/>
      </c>
      <c r="V283" s="95">
        <f t="shared" ref="V283:V288" si="707">(IF(ISNUMBER(F283),F283,1)*G283*H283+IF(ISNUMBER(J283),J283,1)*K283*L283+IF(ISNUMBER(N283),N283,1)*O283*P283+IF(ISNUMBER(R283),R283,1)*S283*T283)*IF(ISNUMBER(E283),E283,1)</f>
        <v>0</v>
      </c>
      <c r="W283" s="96">
        <f t="shared" ref="W283:W288" si="708">IFERROR((IF(ISNUMBER(F283),F283,1)*G283*H283+IF(ISNUMBER(J283),J283,1)*K283*L283+IF(ISNUMBER(N283),N283,1)*O283*P283+IF(ISNUMBER(R283),R283,1)*S283*T283)*IF(ISNUMBER(E283),E283,1)/(G283*H283+K283*L283+O283*P283+S283*T283),0)</f>
        <v>0</v>
      </c>
      <c r="X283" s="97">
        <f t="shared" ref="X283:X288" si="709">ROUND(IFERROR((W283/(Y283*IF(ISNUMBER(E283),E283,1))),0),2)</f>
        <v>0</v>
      </c>
      <c r="Y283" s="37" t="str">
        <f t="shared" ref="Y283:Y288" si="710">IF(ISNUMBER(Y246), Y246+(Y246*$Y$260),"")</f>
        <v/>
      </c>
      <c r="Z283" s="96">
        <f t="shared" ref="Z283:Z288" si="711">(IF(I283&lt;30%,0,IF(I283&lt;35%,F283*G283*H283*F!$B$33,IF(I283&lt;40%,F283*G283*H283*F!$B$38,IF(I283&lt;45%,F283*G283*H283*F!$B$43,IF(I283&lt;50%,F283*G283*H283*F!$B$48,IF(I283=50%,F283*G283*H283*F!$B$50,IF(I283=51%,F283*G283*H283*F!$B$51,IF(I283=52%,F283*G283*H283*F!$B$52,IF(I283=53%,F283*G283*H283*F!$B$53,IF(I283=54%,F283*G283*H283*F!$B$54,IF(I283=55%,F283*G283*H283*F!$B$55,IF(I283=56%,F283*G283*H283*F!$B$56,IF(I283=57%,F283*G283*H283*F!$B$57,IF(I283=58%,F283*G283*H283*F!$B$58,IF(I283=59%,F283*G283*H283*F!$B$59,IF(I283=60%,F283*G283*H283*F!$B$60,IF(I283=61%,F283*G283*H283*F!$B$61,IF(I283=62%,F283*G283*H283*F!$B$62,IF(I283=63%,F283*G283*H283*F!$B$63,IF(I283=64%,F283*G283*H283*F!$B$64,IF(I283=65%,F283*G283*H283*F!$B$65,IF(I283=66%,F283*G283*H283*F!$B$66,IF(I283=67%,F283*G283*H283*F!$B$67,IF(I283=68%,F283*G283*H283*F!$B$68,IF(I283=69%,F283*G283*H283*F!$B$69,IF(I283=70%,F283*G283*H283*F!$B$70,IF(I283=71%,F283*G283*H283*F!$B$71,IF(I283=72%,F283*G283*H283*F!$B$72,IF(I283=73%,F283*G283*H283*F!$B$73,IF(I283=74%,F283*G283*H283*F!$B$74,IF(I283=75%,F283*G283*H283*F!$B$75,IF(I283=76%,F283*G283*H283*F!$B$76,IF(I283=77%,F283*G283*H283*F!$B$77,IF(I283=78%,F283*G283*H283*F!$B$78,IF(I283=79%,F283*G283*H283*F!$B$79,IF(I283=80%,F283*G283*H283*F!$B$80,IF(I283=81%,F283*G283*H283*F!$B$81,IF(I283=82%,F283*G283*H283*F!$B$82,IF(I283=83%,F283*G283*H283*F!$B$83,IF(I283=84%,F283*G283*H283*F!$B$84,IF(I283=85%,F283*G283*H283*F!$B$85,IF(I283=86%,F283*G283*H283*F!$B$86,IF(I283=87%,F283*G283*H283*F!$B$87,IF(I283=88%,F283*G283*H283*F!$B$88,IF(I283=89%,F283*G283*H283*F!$B$89,IF(I283=90%,F283*G283*H283*F!$B$90,IF(I283=91%,F283*G283*H283*F!$B$91,IF(I283=92%,F283*G283*H283*F!$B$92,IF(I283=93%,F283*G283*H283*F!$B$93,IF(I283=94%,F283*G283*H283*F!$B$94,IF(I283=95%,F283*G283*H283*F!$B$95,IF(I283=96%,F283*G283*H283*F!$B$96,IF(I283=97%,F283*G283*H283*F!$B$97,IF(I283=98%,F283*G283*H283*F!$B$98,IF(I283=99%,F283*G283*H283*F!$B$99,IF(I283&gt;99%,F283*G283*H283*F!$B$100,))))))))))))))))))))))))))))))))))))))))))))))))))))))))+IF(M283&lt;30%,0,IF(M283&lt;35%,J283*K283*L283*F!$B$33,IF(M283&lt;40%,J283*K283*L283*F!$B$38,IF(M283&lt;45%,J283*K283*L283*F!$B$43,IF(M283&lt;50%,J283*K283*L283*F!$B$48,IF(M283=50%,J283*K283*L283*F!$B$50,IF(M283=51%,J283*K283*L283*F!$B$51,IF(M283=52%,J283*K283*L283*F!$B$52,IF(M283=53%,J283*K283*L283*F!$B$53,IF(M283=54%,J283*K283*L283*F!$B$54,IF(M283=55%,J283*K283*L283*F!$B$55,IF(M283=56%,J283*K283*L283*F!$B$56,IF(M283=57%,J283*K283*L283*F!$B$57,IF(M283=58%,J283*K283*L283*F!$B$58,IF(M283=59%,J283*K283*L283*F!$B$59,IF(M283=60%,J283*K283*L283*F!$B$60,IF(M283=61%,J283*K283*L283*F!$B$61,IF(M283=62%,J283*K283*L283*F!$B$62,IF(M283=63%,J283*K283*L283*F!$B$63,IF(M283=64%,J283*K283*L283*F!$B$64,IF(M283=65%,J283*K283*L283*F!$B$65,IF(M283=66%,J283*K283*L283*F!$B$66,IF(M283=67%,J283*K283*L283*F!$B$67,IF(M283=68%,J283*K283*L283*F!$B$68,IF(M283=69%,J283*K283*L283*F!$B$69,IF(M283=70%,J283*K283*L283*F!$B$70,IF(M283=71%,J283*K283*L283*F!$B$71,IF(M283=72%,J283*K283*L283*F!$B$72,IF(M283=73%,J283*K283*L283*F!$B$73,IF(M283=74%,J283*K283*L283*F!$B$74,IF(M283=75%,J283*K283*L283*F!$B$75,IF(M283=76%,J283*K283*L283*F!$B$76,IF(M283=77%,J283*K283*L283*F!$B$77,IF(M283=78%,J283*K283*L283*F!$B$78,IF(M283=79%,J283*K283*L283*F!$B$79,IF(M283=80%,J283*K283*L283*F!$B$80,IF(M283=81%,J283*K283*L283*F!$B$81,IF(M283=82%,J283*K283*L283*F!$B$82,IF(M283=83%,J283*K283*L283*F!$B$83,IF(M283=84%,J283*K283*L283*F!$B$84,IF(M283=85%,J283*K283*L283*F!$B$85,IF(M283=86%,J283*K283*L283*F!$B$86,IF(M283=87%,J283*K283*L283*F!$B$87,IF(M283=88%,J283*K283*L283*F!$B$88,IF(M283=89%,J283*K283*L283*F!$B$89,IF(M283=90%,J283*K283*L283*F!$B$90,IF(M283=91%,J283*K283*L283*F!$B$91,IF(M283=92%,J283*K283*L283*F!$B$92,IF(M283=93%,J283*K283*L283*F!$B$93,IF(M283=94%,J283*K283*L283*F!$B$94,IF(M283=95%,J283*K283*L283*F!$B$95,IF(M283=96%,J283*K283*L283*F!$B$96,IF(M283=97%,J283*K283*L283*F!$B$97,IF(M283=98%,J283*K283*L283*F!$B$98,IF(M283=99%,J283*K283*L283*F!$B$99,IF(M283&gt;99%,J283*K283*L283*F!$B$100,))))))))))))))))))))))))))))))))))))))))))))))))))))))))+IF(Q283&lt;30%,0,IF(Q283&lt;35%,N283*O283*P283*F!$B$33,IF(Q283&lt;40%,N283*O283*P283*F!$B$38,IF(Q283&lt;45%,N283*O283*P283*F!$B$43,IF(Q283&lt;50%,N283*O283*P283*F!$B$48,IF(Q283=50%,N283*O283*P283*F!$B$50,IF(Q283=51%,N283*O283*P283*F!$B$51,IF(Q283=52%,N283*O283*P283*F!$B$52,IF(Q283=53%,N283*O283*P283*F!$B$53,IF(Q283=54%,N283*O283*P283*F!$B$54,IF(Q283=55%,N283*O283*P283*F!$B$55,IF(Q283=56%,N283*O283*P283*F!$B$56,IF(Q283=57%,N283*O283*P283*F!$B$57,IF(Q283=58%,N283*O283*P283*F!$B$58,IF(Q283=59%,N283*O283*P283*F!$B$59,IF(Q283=60%,N283*O283*P283*F!$B$60,IF(Q283=61%,N283*O283*P283*F!$B$61,IF(Q283=62%,N283*O283*P283*F!$B$62,IF(Q283=63%,N283*O283*P283*F!$B$63,IF(Q283=64%,N283*O283*P283*F!$B$64,IF(Q283=65%,N283*O283*P283*F!$B$65,IF(Q283=66%,N283*O283*P283*F!$B$66,IF(Q283=67%,N283*O283*P283*F!$B$67,IF(Q283=68%,N283*O283*P283*F!$B$68,IF(Q283=69%,N283*O283*P283*F!$B$69,IF(Q283=70%,N283*O283*P283*F!$B$70,IF(Q283=71%,N283*O283*P283*F!$B$71,IF(Q283=72%,N283*O283*P283*F!$B$72,IF(Q283=73%,N283*O283*P283*F!$B$73,IF(Q283=74%,N283*O283*P283*F!$B$74,IF(Q283=75%,N283*O283*P283*F!$B$75,IF(Q283=76%,N283*O283*P283*F!$B$76,IF(Q283=77%,N283*O283*P283*F!$B$77,IF(Q283=78%,N283*O283*P283*F!$B$78,IF(Q283=79%,N283*O283*P283*F!$B$79,IF(Q283=80%,N283*O283*P283*F!$B$80,IF(Q283=81%,N283*O283*P283*F!$B$81,IF(Q283=82%,N283*O283*P283*F!$B$82,IF(Q283=83%,N283*O283*P283*F!$B$83,IF(Q283=84%,N283*O283*P283*F!$B$84,IF(Q283=85%,N283*O283*P283*F!$B$85,IF(Q283=86%,N283*O283*P283*F!$B$86,IF(Q283=87%,N283*O283*P283*F!$B$87,IF(Q283=88%,N283*O283*P283*F!$B$88,IF(Q283=89%,N283*O283*P283*F!$B$89,IF(Q283=90%,N283*O283*P283*F!$B$90,IF(Q283=91%,N283*O283*P283*F!$B$91,IF(Q283=92%,N283*O283*P283*F!$B$92,IF(Q283=93%,N283*O283*P283*F!$B$93,IF(Q283=94%,N283*O283*P283*F!$B$94,IF(Q283=95%,N283*O283*P283*F!$B$95,IF(Q283=96%,N283*O283*P283*F!$B$96,IF(Q283=97%,N283*O283*P283*F!$B$97,IF(Q283=98%,N283*O283*P283*F!$B$98,IF(Q283=99%,N283*O283*P283*F!$B$99,IF(Q283&gt;99%,N283*O283*P283*F!$B$100,))))))))))))))))))))))))))))))))))))))))))))))))))))))))+IF(U283&lt;30%,0,IF(U283&lt;35%,R283*S283*T283*F!$B$33,IF(U283&lt;40%,R283*S283*T283*F!$B$38,IF(U283&lt;45%,R283*S283*T283*F!$B$43,IF(U283&lt;50%,R283*S283*T283*F!$B$48,IF(U283=50%,R283*S283*T283*F!$B$50,IF(U283=51%,R283*S283*T283*F!$B$51,IF(U283=52%,R283*S283*T283*F!$B$52,IF(U283=53%,R283*S283*T283*F!$B$53,IF(U283=54%,R283*S283*T283*F!$B$54,IF(U283=55%,R283*S283*T283*F!$B$55,IF(U283=56%,R283*S283*T283*F!$B$56,IF(U283=57%,R283*S283*T283*F!$B$57,IF(U283=58%,R283*S283*T283*F!$B$58,IF(U283=59%,R283*S283*T283*F!$B$59,IF(U283=60%,R283*S283*T283*F!$B$60,IF(U283=61%,R283*S283*T283*F!$B$61,IF(U283=62%,R283*S283*T283*F!$B$62,IF(U283=63%,R283*S283*T283*F!$B$63,IF(U283=64%,R283*S283*T283*F!$B$64,IF(U283=65%,R283*S283*T283*F!$B$65,IF(U283=66%,R283*S283*T283*F!$B$66,IF(U283=67%,R283*S283*T283*F!$B$67,IF(U283=68%,R283*S283*T283*F!$B$68,IF(U283=69%,R283*S283*T283*F!$B$69,IF(U283=70%,R283*S283*T283*F!$B$70,IF(U283=71%,R283*S283*T283*F!$B$71,IF(U283=72%,R283*S283*T283*F!$B$72,IF(U283=73%,R283*S283*T283*F!$B$73,IF(U283=74%,R283*S283*T283*F!$B$74,IF(U283=75%,R283*S283*T283*F!$B$75,IF(U283=76%,R283*S283*T283*F!$B$76,IF(U283=77%,R283*S283*T283*F!$B$77,IF(U283=78%,R283*S283*T283*F!$B$78,IF(U283=79%,R283*S283*T283*F!$B$79,IF(U283=80%,R283*S283*T283*F!$B$80,IF(U283=81%,R283*S283*T283*F!$B$81,IF(U283=82%,R283*S283*T283*F!$B$82,IF(U283=83%,R283*S283*T283*F!$B$83,IF(U283=84%,R283*S283*T283*F!$B$84,IF(U283=85%,R283*S283*T283*F!$B$85,IF(U283=86%,R283*S283*T283*F!$B$86,IF(U283=87%,R283*S283*T283*F!$B$87,IF(U283=88%,R283*S283*T283*F!$B$88,IF(U283=89%,R283*S283*T283*F!$B$89,IF(U283=90%,R283*S283*T283*F!$B$90,IF(U283=91%,R283*S283*T283*F!$B$91,IF(U283=92%,R283*S283*T283*F!$B$92,IF(U283=93%,R283*S283*T283*F!$B$93,IF(U283=94%,R283*S283*T283*F!$B$94,IF(U283=95%,R283*S283*T283*F!$B$95,IF(U283=96%,R283*S283*T283*F!$B$96,IF(U283=97%,R283*S283*T283*F!$B$97,IF(U283=98%,R283*S283*T283*F!$B$98,IF(U283=99%,R283*S283*T283*F!$B$99,IF(U283&gt;99%,R283*S283*T283*F!$B$100)))))))))))))))))))))))))))))))))))))))))))))))))))))))))*IF(ISNUMBER(E283),E283,1)*IF(ISNUMBER(D283),D283,1)</f>
        <v>0</v>
      </c>
      <c r="AA283" s="93">
        <f t="shared" ref="AA283:AA288" si="712">G283*H283+K283*L283+O283*P283+S283*T283</f>
        <v>0</v>
      </c>
      <c r="AB283" s="99">
        <f t="shared" ref="AB283:AB288" si="713">(H283*(IF(I283&lt;45%,0.5,IF(I283&lt;55%,0.8,IF(I283&lt;65%,0.9,IF(I283&lt;75%,1,IF(I283&lt;85%,1.1,1.2))))))+L283*(IF(M283&lt;45%,0.5,IF(M283&lt;55%,0.8,IF(M283&lt;65%,0.9,IF(M283&lt;75%,1,IF(M283&lt;85%,1.1,1.2))))))+P283*(IF(Q283&lt;45%,0.5,IF(Q283&lt;55%,0.8,IF(Q283&lt;65%,0.9,IF(Q283&lt;75%,1,IF(Q283&lt;85%,1.1,1.2))))))+T283*(IF(U283&lt;45%,0.5,IF(U283&lt;55%,0.8,IF(U283&lt;65%,0.9,IF(U283&lt;75%,1,IF(U283&lt;85%,1.1,1.2)))))))*IF(D283&gt;=0.8,6,IF(D283&lt;=0.4,1.5,3))</f>
        <v>0</v>
      </c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</row>
    <row r="284" ht="15.0" hidden="1" customHeight="1">
      <c r="A284" s="142">
        <f>A277+1</f>
        <v>42385</v>
      </c>
      <c r="B284" s="101" t="str">
        <f t="shared" ref="B284:C284" si="701">IF(B247="","",B247)</f>
        <v/>
      </c>
      <c r="C284" s="143" t="str">
        <f t="shared" si="701"/>
        <v/>
      </c>
      <c r="D284" s="46" t="str">
        <f t="shared" si="702"/>
        <v/>
      </c>
      <c r="E284" s="144" t="str">
        <f t="shared" si="647"/>
        <v/>
      </c>
      <c r="F284" s="59"/>
      <c r="G284" s="60"/>
      <c r="H284" s="60"/>
      <c r="I284" s="61" t="str">
        <f t="shared" si="703"/>
        <v/>
      </c>
      <c r="J284" s="59"/>
      <c r="K284" s="60"/>
      <c r="L284" s="60"/>
      <c r="M284" s="61" t="str">
        <f t="shared" si="704"/>
        <v/>
      </c>
      <c r="N284" s="59"/>
      <c r="O284" s="60"/>
      <c r="P284" s="60"/>
      <c r="Q284" s="61" t="str">
        <f t="shared" si="705"/>
        <v/>
      </c>
      <c r="R284" s="59"/>
      <c r="S284" s="60"/>
      <c r="T284" s="60"/>
      <c r="U284" s="61" t="str">
        <f t="shared" si="706"/>
        <v/>
      </c>
      <c r="V284" s="104">
        <f t="shared" si="707"/>
        <v>0</v>
      </c>
      <c r="W284" s="64">
        <f t="shared" si="708"/>
        <v>0</v>
      </c>
      <c r="X284" s="65">
        <f t="shared" si="709"/>
        <v>0</v>
      </c>
      <c r="Y284" s="137" t="str">
        <f t="shared" si="710"/>
        <v/>
      </c>
      <c r="Z284" s="64">
        <f t="shared" si="711"/>
        <v>0</v>
      </c>
      <c r="AA284" s="60">
        <f t="shared" si="712"/>
        <v>0</v>
      </c>
      <c r="AB284" s="66">
        <f t="shared" si="713"/>
        <v>0</v>
      </c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</row>
    <row r="285" ht="15.75" hidden="1" customHeight="1">
      <c r="A285" s="57"/>
      <c r="B285" s="101" t="str">
        <f t="shared" ref="B285:C285" si="714">IF(B248="","",B248)</f>
        <v/>
      </c>
      <c r="C285" s="143" t="str">
        <f t="shared" si="714"/>
        <v/>
      </c>
      <c r="D285" s="46" t="str">
        <f t="shared" si="702"/>
        <v/>
      </c>
      <c r="E285" s="144" t="str">
        <f t="shared" si="647"/>
        <v/>
      </c>
      <c r="F285" s="105"/>
      <c r="G285" s="106"/>
      <c r="H285" s="106"/>
      <c r="I285" s="107" t="str">
        <f t="shared" si="703"/>
        <v/>
      </c>
      <c r="J285" s="105"/>
      <c r="K285" s="106"/>
      <c r="L285" s="106"/>
      <c r="M285" s="107" t="str">
        <f t="shared" si="704"/>
        <v/>
      </c>
      <c r="N285" s="105"/>
      <c r="O285" s="106"/>
      <c r="P285" s="106"/>
      <c r="Q285" s="107" t="str">
        <f t="shared" si="705"/>
        <v/>
      </c>
      <c r="R285" s="105"/>
      <c r="S285" s="106"/>
      <c r="T285" s="106"/>
      <c r="U285" s="107" t="str">
        <f t="shared" si="706"/>
        <v/>
      </c>
      <c r="V285" s="108">
        <f t="shared" si="707"/>
        <v>0</v>
      </c>
      <c r="W285" s="109">
        <f t="shared" si="708"/>
        <v>0</v>
      </c>
      <c r="X285" s="110">
        <f t="shared" si="709"/>
        <v>0</v>
      </c>
      <c r="Y285" s="137" t="str">
        <f t="shared" si="710"/>
        <v/>
      </c>
      <c r="Z285" s="109">
        <f t="shared" si="711"/>
        <v>0</v>
      </c>
      <c r="AA285" s="106">
        <f t="shared" si="712"/>
        <v>0</v>
      </c>
      <c r="AB285" s="111">
        <f t="shared" si="713"/>
        <v>0</v>
      </c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</row>
    <row r="286" ht="15.75" hidden="1" customHeight="1">
      <c r="A286" s="57"/>
      <c r="B286" s="101" t="str">
        <f t="shared" ref="B286:C286" si="715">IF(B249="","",B249)</f>
        <v/>
      </c>
      <c r="C286" s="143" t="str">
        <f t="shared" si="715"/>
        <v/>
      </c>
      <c r="D286" s="46" t="str">
        <f t="shared" si="702"/>
        <v/>
      </c>
      <c r="E286" s="144" t="str">
        <f t="shared" si="647"/>
        <v/>
      </c>
      <c r="F286" s="59"/>
      <c r="G286" s="60"/>
      <c r="H286" s="60"/>
      <c r="I286" s="61" t="str">
        <f t="shared" si="703"/>
        <v/>
      </c>
      <c r="J286" s="59"/>
      <c r="K286" s="60"/>
      <c r="L286" s="60"/>
      <c r="M286" s="61" t="str">
        <f t="shared" si="704"/>
        <v/>
      </c>
      <c r="N286" s="59"/>
      <c r="O286" s="60"/>
      <c r="P286" s="60"/>
      <c r="Q286" s="61" t="str">
        <f t="shared" si="705"/>
        <v/>
      </c>
      <c r="R286" s="59"/>
      <c r="S286" s="60"/>
      <c r="T286" s="60"/>
      <c r="U286" s="61" t="str">
        <f t="shared" si="706"/>
        <v/>
      </c>
      <c r="V286" s="104">
        <f t="shared" si="707"/>
        <v>0</v>
      </c>
      <c r="W286" s="64">
        <f t="shared" si="708"/>
        <v>0</v>
      </c>
      <c r="X286" s="65">
        <f t="shared" si="709"/>
        <v>0</v>
      </c>
      <c r="Y286" s="137" t="str">
        <f t="shared" si="710"/>
        <v/>
      </c>
      <c r="Z286" s="64">
        <f t="shared" si="711"/>
        <v>0</v>
      </c>
      <c r="AA286" s="60">
        <f t="shared" si="712"/>
        <v>0</v>
      </c>
      <c r="AB286" s="66">
        <f t="shared" si="713"/>
        <v>0</v>
      </c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</row>
    <row r="287" ht="15.75" hidden="1" customHeight="1">
      <c r="A287" s="57"/>
      <c r="B287" s="101" t="str">
        <f t="shared" ref="B287:C287" si="716">IF(B250="","",B250)</f>
        <v/>
      </c>
      <c r="C287" s="143" t="str">
        <f t="shared" si="716"/>
        <v/>
      </c>
      <c r="D287" s="46" t="str">
        <f t="shared" si="702"/>
        <v/>
      </c>
      <c r="E287" s="144" t="str">
        <f t="shared" si="647"/>
        <v/>
      </c>
      <c r="F287" s="105"/>
      <c r="G287" s="106"/>
      <c r="H287" s="106"/>
      <c r="I287" s="107" t="str">
        <f t="shared" si="703"/>
        <v/>
      </c>
      <c r="J287" s="105"/>
      <c r="K287" s="106"/>
      <c r="L287" s="106"/>
      <c r="M287" s="107" t="str">
        <f t="shared" si="704"/>
        <v/>
      </c>
      <c r="N287" s="105"/>
      <c r="O287" s="106"/>
      <c r="P287" s="106"/>
      <c r="Q287" s="107" t="str">
        <f t="shared" si="705"/>
        <v/>
      </c>
      <c r="R287" s="105"/>
      <c r="S287" s="106"/>
      <c r="T287" s="106"/>
      <c r="U287" s="107" t="str">
        <f t="shared" si="706"/>
        <v/>
      </c>
      <c r="V287" s="108">
        <f t="shared" si="707"/>
        <v>0</v>
      </c>
      <c r="W287" s="109">
        <f t="shared" si="708"/>
        <v>0</v>
      </c>
      <c r="X287" s="117">
        <f t="shared" si="709"/>
        <v>0</v>
      </c>
      <c r="Y287" s="137" t="str">
        <f t="shared" si="710"/>
        <v/>
      </c>
      <c r="Z287" s="109">
        <f t="shared" si="711"/>
        <v>0</v>
      </c>
      <c r="AA287" s="106">
        <f t="shared" si="712"/>
        <v>0</v>
      </c>
      <c r="AB287" s="111">
        <f t="shared" si="713"/>
        <v>0</v>
      </c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</row>
    <row r="288" ht="15.75" hidden="1" customHeight="1">
      <c r="A288" s="57"/>
      <c r="B288" s="101" t="str">
        <f t="shared" ref="B288:C288" si="717">IF(B251="","",B251)</f>
        <v/>
      </c>
      <c r="C288" s="143" t="str">
        <f t="shared" si="717"/>
        <v/>
      </c>
      <c r="D288" s="46" t="str">
        <f t="shared" si="702"/>
        <v/>
      </c>
      <c r="E288" s="144" t="str">
        <f t="shared" si="647"/>
        <v/>
      </c>
      <c r="F288" s="59"/>
      <c r="G288" s="60"/>
      <c r="H288" s="60"/>
      <c r="I288" s="61" t="str">
        <f t="shared" si="703"/>
        <v/>
      </c>
      <c r="J288" s="59"/>
      <c r="K288" s="60"/>
      <c r="L288" s="60"/>
      <c r="M288" s="61" t="str">
        <f t="shared" si="704"/>
        <v/>
      </c>
      <c r="N288" s="59"/>
      <c r="O288" s="60"/>
      <c r="P288" s="60"/>
      <c r="Q288" s="61" t="str">
        <f t="shared" si="705"/>
        <v/>
      </c>
      <c r="R288" s="59"/>
      <c r="S288" s="60"/>
      <c r="T288" s="60"/>
      <c r="U288" s="61" t="str">
        <f t="shared" si="706"/>
        <v/>
      </c>
      <c r="V288" s="104">
        <f t="shared" si="707"/>
        <v>0</v>
      </c>
      <c r="W288" s="64">
        <f t="shared" si="708"/>
        <v>0</v>
      </c>
      <c r="X288" s="65">
        <f t="shared" si="709"/>
        <v>0</v>
      </c>
      <c r="Y288" s="137" t="str">
        <f t="shared" si="710"/>
        <v/>
      </c>
      <c r="Z288" s="64">
        <f t="shared" si="711"/>
        <v>0</v>
      </c>
      <c r="AA288" s="60">
        <f t="shared" si="712"/>
        <v>0</v>
      </c>
      <c r="AB288" s="66">
        <f t="shared" si="713"/>
        <v>0</v>
      </c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</row>
    <row r="289" ht="15.75" hidden="1" customHeight="1">
      <c r="A289" s="72"/>
      <c r="B289" s="119" t="str">
        <f t="shared" ref="B289:C289" si="718">IF(B252="","",B252)</f>
        <v/>
      </c>
      <c r="C289" s="146" t="str">
        <f t="shared" si="718"/>
        <v/>
      </c>
      <c r="D289" s="75">
        <f>ROUND(IFERROR((D283*(G283*H283+K283*L283+O283*P283+S283*T283)+D284*(G284*H284+K284*L284+O284*P284+S284*T284)+D285*(G285*H285+K285*L285+O285*P285+S285*T285)+D286*(G286*H286+K286*L286+O286*P286+S286*T286)+D287*(G287*H287+K287*L287+O287*P287+S287*T287)+D288*(G288*H288+K288*L288+O288*P288+S288*T288))/((G283*H283+K283*L283+O283*P283+S283*T283)+(G284*H284+K284*L284+O284*P284+S284*T284)+(G285*H285+K285*L285+O285*P285+S285*T285)+(G286*H286+K286*L286+O286*P286+S286*T286)+(G287*H287+K287*L287+O287*P287+S287*T287)+(G288*H288+K288*L288+O288*P288+S288*T288)),0),2)</f>
        <v>0</v>
      </c>
      <c r="E289" s="147" t="str">
        <f t="shared" si="647"/>
        <v/>
      </c>
      <c r="F289" s="122"/>
      <c r="G289" s="123"/>
      <c r="H289" s="123"/>
      <c r="I289" s="124"/>
      <c r="J289" s="122"/>
      <c r="K289" s="123"/>
      <c r="L289" s="123"/>
      <c r="M289" s="124"/>
      <c r="N289" s="122"/>
      <c r="O289" s="123"/>
      <c r="P289" s="123"/>
      <c r="Q289" s="124"/>
      <c r="R289" s="122"/>
      <c r="S289" s="123"/>
      <c r="T289" s="123"/>
      <c r="U289" s="124"/>
      <c r="V289" s="125">
        <f>SUM(V283:V288)</f>
        <v>0</v>
      </c>
      <c r="W289" s="82">
        <f>IFERROR(V289/AA289,0)</f>
        <v>0</v>
      </c>
      <c r="X289" s="83">
        <f>ROUND(IFERROR(((I283*G283*H283+M283*K283*L283+Q283*O283*P283+U283*S283*T283)+(I284*G284*H284+M284*K284*L284+Q284*O284*P284+U284*S284*T284)+(I285*G285*H285+M285*K285*L285+Q285*O285*P285+U285*S285*T285)+(I286*G286*H286+M286*K286*L286+Q286*O286*P286+U286*S286*T286)+(I287*G287*H287+M287*K287*L287+Q287*O287*P287+U287*S287*T287)+(I288*G288*H288+M288*K288*L288+Q288*O288*P288+U288*S288*T288))/((G283*H283+K283*L283+O283*P283+S283*T283)+(G284*H284+K284*L284+O284*P284+S284*T284)+(G285*H285+K285*L285+O285*P285+S285*T285)+(G286*H286+K286*L286+O286*P286+S286*T286)+(G287*H287+K287*L287+O287*P287+S287*T287)+(G288*H288+K288*L288+O288*P288+S288*T288)),0),3)</f>
        <v>0</v>
      </c>
      <c r="Y289" s="84"/>
      <c r="Z289" s="82">
        <f t="shared" ref="Z289:AA289" si="719">SUM(Z283:Z288)</f>
        <v>0</v>
      </c>
      <c r="AA289" s="85">
        <f t="shared" si="719"/>
        <v>0</v>
      </c>
      <c r="AB289" s="86">
        <f>IF(SUM(AB283:AB288)=0,TIME(,0,),TIME(,SUM(AB283:AB288)+30,))</f>
        <v>0</v>
      </c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</row>
    <row r="290" ht="15.75" hidden="1" customHeight="1">
      <c r="A290" s="126" t="s">
        <v>36</v>
      </c>
      <c r="B290" s="27" t="str">
        <f t="shared" ref="B290:C290" si="720">IF(B253="","",B253)</f>
        <v/>
      </c>
      <c r="C290" s="148" t="str">
        <f t="shared" si="720"/>
        <v/>
      </c>
      <c r="D290" s="29" t="str">
        <f t="shared" ref="D290:D295" si="722">D253</f>
        <v/>
      </c>
      <c r="E290" s="30" t="str">
        <f t="shared" si="647"/>
        <v/>
      </c>
      <c r="F290" s="31"/>
      <c r="G290" s="32"/>
      <c r="H290" s="32"/>
      <c r="I290" s="33" t="str">
        <f t="shared" ref="I290:I295" si="723">IFERROR(ROUND(F290/$Y290,2),)</f>
        <v/>
      </c>
      <c r="J290" s="31"/>
      <c r="K290" s="32"/>
      <c r="L290" s="32"/>
      <c r="M290" s="33" t="str">
        <f t="shared" ref="M290:M295" si="724">IFERROR(ROUND(J290/$Y290,2),)</f>
        <v/>
      </c>
      <c r="N290" s="31"/>
      <c r="O290" s="32"/>
      <c r="P290" s="32"/>
      <c r="Q290" s="33" t="str">
        <f t="shared" ref="Q290:Q295" si="725">IFERROR(ROUND(N290/$Y290,2),)</f>
        <v/>
      </c>
      <c r="R290" s="31"/>
      <c r="S290" s="32"/>
      <c r="T290" s="32"/>
      <c r="U290" s="33" t="str">
        <f t="shared" ref="U290:U295" si="726">IFERROR(ROUND(R290/$Y290,2),)</f>
        <v/>
      </c>
      <c r="V290" s="130">
        <f t="shared" ref="V290:V295" si="727">(IF(ISNUMBER(F290),F290,1)*G290*H290+IF(ISNUMBER(J290),J290,1)*K290*L290+IF(ISNUMBER(N290),N290,1)*O290*P290+IF(ISNUMBER(R290),R290,1)*S290*T290)*IF(ISNUMBER(E290),E290,1)</f>
        <v>0</v>
      </c>
      <c r="W290" s="36">
        <f t="shared" ref="W290:W295" si="728">IFERROR((IF(ISNUMBER(F290),F290,1)*G290*H290+IF(ISNUMBER(J290),J290,1)*K290*L290+IF(ISNUMBER(N290),N290,1)*O290*P290+IF(ISNUMBER(R290),R290,1)*S290*T290)*IF(ISNUMBER(E290),E290,1)/(G290*H290+K290*L290+O290*P290+S290*T290),0)</f>
        <v>0</v>
      </c>
      <c r="X290" s="34">
        <f t="shared" ref="X290:X295" si="729">ROUND(IFERROR((W290/(Y290*IF(ISNUMBER(E290),E290,1))),0),2)</f>
        <v>0</v>
      </c>
      <c r="Y290" s="37" t="str">
        <f t="shared" ref="Y290:Y295" si="730">IF(ISNUMBER(Y253), Y253+(Y253*$Y$260),"")</f>
        <v/>
      </c>
      <c r="Z290" s="36">
        <f t="shared" ref="Z290:Z295" si="731">(IF(I290&lt;30%,0,IF(I290&lt;35%,F290*G290*H290*F!$B$33,IF(I290&lt;40%,F290*G290*H290*F!$B$38,IF(I290&lt;45%,F290*G290*H290*F!$B$43,IF(I290&lt;50%,F290*G290*H290*F!$B$48,IF(I290=50%,F290*G290*H290*F!$B$50,IF(I290=51%,F290*G290*H290*F!$B$51,IF(I290=52%,F290*G290*H290*F!$B$52,IF(I290=53%,F290*G290*H290*F!$B$53,IF(I290=54%,F290*G290*H290*F!$B$54,IF(I290=55%,F290*G290*H290*F!$B$55,IF(I290=56%,F290*G290*H290*F!$B$56,IF(I290=57%,F290*G290*H290*F!$B$57,IF(I290=58%,F290*G290*H290*F!$B$58,IF(I290=59%,F290*G290*H290*F!$B$59,IF(I290=60%,F290*G290*H290*F!$B$60,IF(I290=61%,F290*G290*H290*F!$B$61,IF(I290=62%,F290*G290*H290*F!$B$62,IF(I290=63%,F290*G290*H290*F!$B$63,IF(I290=64%,F290*G290*H290*F!$B$64,IF(I290=65%,F290*G290*H290*F!$B$65,IF(I290=66%,F290*G290*H290*F!$B$66,IF(I290=67%,F290*G290*H290*F!$B$67,IF(I290=68%,F290*G290*H290*F!$B$68,IF(I290=69%,F290*G290*H290*F!$B$69,IF(I290=70%,F290*G290*H290*F!$B$70,IF(I290=71%,F290*G290*H290*F!$B$71,IF(I290=72%,F290*G290*H290*F!$B$72,IF(I290=73%,F290*G290*H290*F!$B$73,IF(I290=74%,F290*G290*H290*F!$B$74,IF(I290=75%,F290*G290*H290*F!$B$75,IF(I290=76%,F290*G290*H290*F!$B$76,IF(I290=77%,F290*G290*H290*F!$B$77,IF(I290=78%,F290*G290*H290*F!$B$78,IF(I290=79%,F290*G290*H290*F!$B$79,IF(I290=80%,F290*G290*H290*F!$B$80,IF(I290=81%,F290*G290*H290*F!$B$81,IF(I290=82%,F290*G290*H290*F!$B$82,IF(I290=83%,F290*G290*H290*F!$B$83,IF(I290=84%,F290*G290*H290*F!$B$84,IF(I290=85%,F290*G290*H290*F!$B$85,IF(I290=86%,F290*G290*H290*F!$B$86,IF(I290=87%,F290*G290*H290*F!$B$87,IF(I290=88%,F290*G290*H290*F!$B$88,IF(I290=89%,F290*G290*H290*F!$B$89,IF(I290=90%,F290*G290*H290*F!$B$90,IF(I290=91%,F290*G290*H290*F!$B$91,IF(I290=92%,F290*G290*H290*F!$B$92,IF(I290=93%,F290*G290*H290*F!$B$93,IF(I290=94%,F290*G290*H290*F!$B$94,IF(I290=95%,F290*G290*H290*F!$B$95,IF(I290=96%,F290*G290*H290*F!$B$96,IF(I290=97%,F290*G290*H290*F!$B$97,IF(I290=98%,F290*G290*H290*F!$B$98,IF(I290=99%,F290*G290*H290*F!$B$99,IF(I290&gt;99%,F290*G290*H290*F!$B$100,))))))))))))))))))))))))))))))))))))))))))))))))))))))))+IF(M290&lt;30%,0,IF(M290&lt;35%,J290*K290*L290*F!$B$33,IF(M290&lt;40%,J290*K290*L290*F!$B$38,IF(M290&lt;45%,J290*K290*L290*F!$B$43,IF(M290&lt;50%,J290*K290*L290*F!$B$48,IF(M290=50%,J290*K290*L290*F!$B$50,IF(M290=51%,J290*K290*L290*F!$B$51,IF(M290=52%,J290*K290*L290*F!$B$52,IF(M290=53%,J290*K290*L290*F!$B$53,IF(M290=54%,J290*K290*L290*F!$B$54,IF(M290=55%,J290*K290*L290*F!$B$55,IF(M290=56%,J290*K290*L290*F!$B$56,IF(M290=57%,J290*K290*L290*F!$B$57,IF(M290=58%,J290*K290*L290*F!$B$58,IF(M290=59%,J290*K290*L290*F!$B$59,IF(M290=60%,J290*K290*L290*F!$B$60,IF(M290=61%,J290*K290*L290*F!$B$61,IF(M290=62%,J290*K290*L290*F!$B$62,IF(M290=63%,J290*K290*L290*F!$B$63,IF(M290=64%,J290*K290*L290*F!$B$64,IF(M290=65%,J290*K290*L290*F!$B$65,IF(M290=66%,J290*K290*L290*F!$B$66,IF(M290=67%,J290*K290*L290*F!$B$67,IF(M290=68%,J290*K290*L290*F!$B$68,IF(M290=69%,J290*K290*L290*F!$B$69,IF(M290=70%,J290*K290*L290*F!$B$70,IF(M290=71%,J290*K290*L290*F!$B$71,IF(M290=72%,J290*K290*L290*F!$B$72,IF(M290=73%,J290*K290*L290*F!$B$73,IF(M290=74%,J290*K290*L290*F!$B$74,IF(M290=75%,J290*K290*L290*F!$B$75,IF(M290=76%,J290*K290*L290*F!$B$76,IF(M290=77%,J290*K290*L290*F!$B$77,IF(M290=78%,J290*K290*L290*F!$B$78,IF(M290=79%,J290*K290*L290*F!$B$79,IF(M290=80%,J290*K290*L290*F!$B$80,IF(M290=81%,J290*K290*L290*F!$B$81,IF(M290=82%,J290*K290*L290*F!$B$82,IF(M290=83%,J290*K290*L290*F!$B$83,IF(M290=84%,J290*K290*L290*F!$B$84,IF(M290=85%,J290*K290*L290*F!$B$85,IF(M290=86%,J290*K290*L290*F!$B$86,IF(M290=87%,J290*K290*L290*F!$B$87,IF(M290=88%,J290*K290*L290*F!$B$88,IF(M290=89%,J290*K290*L290*F!$B$89,IF(M290=90%,J290*K290*L290*F!$B$90,IF(M290=91%,J290*K290*L290*F!$B$91,IF(M290=92%,J290*K290*L290*F!$B$92,IF(M290=93%,J290*K290*L290*F!$B$93,IF(M290=94%,J290*K290*L290*F!$B$94,IF(M290=95%,J290*K290*L290*F!$B$95,IF(M290=96%,J290*K290*L290*F!$B$96,IF(M290=97%,J290*K290*L290*F!$B$97,IF(M290=98%,J290*K290*L290*F!$B$98,IF(M290=99%,J290*K290*L290*F!$B$99,IF(M290&gt;99%,J290*K290*L290*F!$B$100,))))))))))))))))))))))))))))))))))))))))))))))))))))))))+IF(Q290&lt;30%,0,IF(Q290&lt;35%,N290*O290*P290*F!$B$33,IF(Q290&lt;40%,N290*O290*P290*F!$B$38,IF(Q290&lt;45%,N290*O290*P290*F!$B$43,IF(Q290&lt;50%,N290*O290*P290*F!$B$48,IF(Q290=50%,N290*O290*P290*F!$B$50,IF(Q290=51%,N290*O290*P290*F!$B$51,IF(Q290=52%,N290*O290*P290*F!$B$52,IF(Q290=53%,N290*O290*P290*F!$B$53,IF(Q290=54%,N290*O290*P290*F!$B$54,IF(Q290=55%,N290*O290*P290*F!$B$55,IF(Q290=56%,N290*O290*P290*F!$B$56,IF(Q290=57%,N290*O290*P290*F!$B$57,IF(Q290=58%,N290*O290*P290*F!$B$58,IF(Q290=59%,N290*O290*P290*F!$B$59,IF(Q290=60%,N290*O290*P290*F!$B$60,IF(Q290=61%,N290*O290*P290*F!$B$61,IF(Q290=62%,N290*O290*P290*F!$B$62,IF(Q290=63%,N290*O290*P290*F!$B$63,IF(Q290=64%,N290*O290*P290*F!$B$64,IF(Q290=65%,N290*O290*P290*F!$B$65,IF(Q290=66%,N290*O290*P290*F!$B$66,IF(Q290=67%,N290*O290*P290*F!$B$67,IF(Q290=68%,N290*O290*P290*F!$B$68,IF(Q290=69%,N290*O290*P290*F!$B$69,IF(Q290=70%,N290*O290*P290*F!$B$70,IF(Q290=71%,N290*O290*P290*F!$B$71,IF(Q290=72%,N290*O290*P290*F!$B$72,IF(Q290=73%,N290*O290*P290*F!$B$73,IF(Q290=74%,N290*O290*P290*F!$B$74,IF(Q290=75%,N290*O290*P290*F!$B$75,IF(Q290=76%,N290*O290*P290*F!$B$76,IF(Q290=77%,N290*O290*P290*F!$B$77,IF(Q290=78%,N290*O290*P290*F!$B$78,IF(Q290=79%,N290*O290*P290*F!$B$79,IF(Q290=80%,N290*O290*P290*F!$B$80,IF(Q290=81%,N290*O290*P290*F!$B$81,IF(Q290=82%,N290*O290*P290*F!$B$82,IF(Q290=83%,N290*O290*P290*F!$B$83,IF(Q290=84%,N290*O290*P290*F!$B$84,IF(Q290=85%,N290*O290*P290*F!$B$85,IF(Q290=86%,N290*O290*P290*F!$B$86,IF(Q290=87%,N290*O290*P290*F!$B$87,IF(Q290=88%,N290*O290*P290*F!$B$88,IF(Q290=89%,N290*O290*P290*F!$B$89,IF(Q290=90%,N290*O290*P290*F!$B$90,IF(Q290=91%,N290*O290*P290*F!$B$91,IF(Q290=92%,N290*O290*P290*F!$B$92,IF(Q290=93%,N290*O290*P290*F!$B$93,IF(Q290=94%,N290*O290*P290*F!$B$94,IF(Q290=95%,N290*O290*P290*F!$B$95,IF(Q290=96%,N290*O290*P290*F!$B$96,IF(Q290=97%,N290*O290*P290*F!$B$97,IF(Q290=98%,N290*O290*P290*F!$B$98,IF(Q290=99%,N290*O290*P290*F!$B$99,IF(Q290&gt;99%,N290*O290*P290*F!$B$100,))))))))))))))))))))))))))))))))))))))))))))))))))))))))+IF(U290&lt;30%,0,IF(U290&lt;35%,R290*S290*T290*F!$B$33,IF(U290&lt;40%,R290*S290*T290*F!$B$38,IF(U290&lt;45%,R290*S290*T290*F!$B$43,IF(U290&lt;50%,R290*S290*T290*F!$B$48,IF(U290=50%,R290*S290*T290*F!$B$50,IF(U290=51%,R290*S290*T290*F!$B$51,IF(U290=52%,R290*S290*T290*F!$B$52,IF(U290=53%,R290*S290*T290*F!$B$53,IF(U290=54%,R290*S290*T290*F!$B$54,IF(U290=55%,R290*S290*T290*F!$B$55,IF(U290=56%,R290*S290*T290*F!$B$56,IF(U290=57%,R290*S290*T290*F!$B$57,IF(U290=58%,R290*S290*T290*F!$B$58,IF(U290=59%,R290*S290*T290*F!$B$59,IF(U290=60%,R290*S290*T290*F!$B$60,IF(U290=61%,R290*S290*T290*F!$B$61,IF(U290=62%,R290*S290*T290*F!$B$62,IF(U290=63%,R290*S290*T290*F!$B$63,IF(U290=64%,R290*S290*T290*F!$B$64,IF(U290=65%,R290*S290*T290*F!$B$65,IF(U290=66%,R290*S290*T290*F!$B$66,IF(U290=67%,R290*S290*T290*F!$B$67,IF(U290=68%,R290*S290*T290*F!$B$68,IF(U290=69%,R290*S290*T290*F!$B$69,IF(U290=70%,R290*S290*T290*F!$B$70,IF(U290=71%,R290*S290*T290*F!$B$71,IF(U290=72%,R290*S290*T290*F!$B$72,IF(U290=73%,R290*S290*T290*F!$B$73,IF(U290=74%,R290*S290*T290*F!$B$74,IF(U290=75%,R290*S290*T290*F!$B$75,IF(U290=76%,R290*S290*T290*F!$B$76,IF(U290=77%,R290*S290*T290*F!$B$77,IF(U290=78%,R290*S290*T290*F!$B$78,IF(U290=79%,R290*S290*T290*F!$B$79,IF(U290=80%,R290*S290*T290*F!$B$80,IF(U290=81%,R290*S290*T290*F!$B$81,IF(U290=82%,R290*S290*T290*F!$B$82,IF(U290=83%,R290*S290*T290*F!$B$83,IF(U290=84%,R290*S290*T290*F!$B$84,IF(U290=85%,R290*S290*T290*F!$B$85,IF(U290=86%,R290*S290*T290*F!$B$86,IF(U290=87%,R290*S290*T290*F!$B$87,IF(U290=88%,R290*S290*T290*F!$B$88,IF(U290=89%,R290*S290*T290*F!$B$89,IF(U290=90%,R290*S290*T290*F!$B$90,IF(U290=91%,R290*S290*T290*F!$B$91,IF(U290=92%,R290*S290*T290*F!$B$92,IF(U290=93%,R290*S290*T290*F!$B$93,IF(U290=94%,R290*S290*T290*F!$B$94,IF(U290=95%,R290*S290*T290*F!$B$95,IF(U290=96%,R290*S290*T290*F!$B$96,IF(U290=97%,R290*S290*T290*F!$B$97,IF(U290=98%,R290*S290*T290*F!$B$98,IF(U290=99%,R290*S290*T290*F!$B$99,IF(U290&gt;99%,R290*S290*T290*F!$B$100)))))))))))))))))))))))))))))))))))))))))))))))))))))))))*IF(ISNUMBER(E290),E290,1)*IF(ISNUMBER(D290),D290,1)</f>
        <v>0</v>
      </c>
      <c r="AA290" s="32">
        <f t="shared" ref="AA290:AA295" si="732">G290*H290+K290*L290+O290*P290+S290*T290</f>
        <v>0</v>
      </c>
      <c r="AB290" s="38">
        <f t="shared" ref="AB290:AB295" si="733">(H290*(IF(I290&lt;45%,0.5,IF(I290&lt;55%,0.8,IF(I290&lt;65%,0.9,IF(I290&lt;75%,1,IF(I290&lt;85%,1.1,1.2))))))+L290*(IF(M290&lt;45%,0.5,IF(M290&lt;55%,0.8,IF(M290&lt;65%,0.9,IF(M290&lt;75%,1,IF(M290&lt;85%,1.1,1.2))))))+P290*(IF(Q290&lt;45%,0.5,IF(Q290&lt;55%,0.8,IF(Q290&lt;65%,0.9,IF(Q290&lt;75%,1,IF(Q290&lt;85%,1.1,1.2))))))+T290*(IF(U290&lt;45%,0.5,IF(U290&lt;55%,0.8,IF(U290&lt;65%,0.9,IF(U290&lt;75%,1,IF(U290&lt;85%,1.1,1.2)))))))*IF(D290&gt;=0.8,6,IF(D290&lt;=0.4,1.5,3))</f>
        <v>0</v>
      </c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</row>
    <row r="291" ht="15.0" hidden="1" customHeight="1">
      <c r="A291" s="142">
        <f>A284+1</f>
        <v>42386</v>
      </c>
      <c r="B291" s="44" t="str">
        <f t="shared" ref="B291:C291" si="721">IF(B254="","",B254)</f>
        <v/>
      </c>
      <c r="C291" s="149" t="str">
        <f t="shared" si="721"/>
        <v/>
      </c>
      <c r="D291" s="46" t="str">
        <f t="shared" si="722"/>
        <v/>
      </c>
      <c r="E291" s="47" t="str">
        <f t="shared" si="647"/>
        <v/>
      </c>
      <c r="F291" s="48"/>
      <c r="G291" s="49"/>
      <c r="H291" s="49"/>
      <c r="I291" s="50" t="str">
        <f t="shared" si="723"/>
        <v/>
      </c>
      <c r="J291" s="48"/>
      <c r="K291" s="49"/>
      <c r="L291" s="49"/>
      <c r="M291" s="50" t="str">
        <f t="shared" si="724"/>
        <v/>
      </c>
      <c r="N291" s="48"/>
      <c r="O291" s="49"/>
      <c r="P291" s="49"/>
      <c r="Q291" s="50" t="str">
        <f t="shared" si="725"/>
        <v/>
      </c>
      <c r="R291" s="48"/>
      <c r="S291" s="49"/>
      <c r="T291" s="49"/>
      <c r="U291" s="50" t="str">
        <f t="shared" si="726"/>
        <v/>
      </c>
      <c r="V291" s="134">
        <f t="shared" si="727"/>
        <v>0</v>
      </c>
      <c r="W291" s="53">
        <f t="shared" si="728"/>
        <v>0</v>
      </c>
      <c r="X291" s="54">
        <f t="shared" si="729"/>
        <v>0</v>
      </c>
      <c r="Y291" s="137" t="str">
        <f t="shared" si="730"/>
        <v/>
      </c>
      <c r="Z291" s="53">
        <f t="shared" si="731"/>
        <v>0</v>
      </c>
      <c r="AA291" s="49">
        <f t="shared" si="732"/>
        <v>0</v>
      </c>
      <c r="AB291" s="56">
        <f t="shared" si="733"/>
        <v>0</v>
      </c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</row>
    <row r="292" ht="15.75" hidden="1" customHeight="1">
      <c r="A292" s="57"/>
      <c r="B292" s="44" t="str">
        <f t="shared" ref="B292:C292" si="734">IF(B255="","",B255)</f>
        <v/>
      </c>
      <c r="C292" s="149" t="str">
        <f t="shared" si="734"/>
        <v/>
      </c>
      <c r="D292" s="46" t="str">
        <f t="shared" si="722"/>
        <v/>
      </c>
      <c r="E292" s="47" t="str">
        <f t="shared" si="647"/>
        <v/>
      </c>
      <c r="F292" s="59"/>
      <c r="G292" s="60"/>
      <c r="H292" s="60"/>
      <c r="I292" s="61" t="str">
        <f t="shared" si="723"/>
        <v/>
      </c>
      <c r="J292" s="59"/>
      <c r="K292" s="60"/>
      <c r="L292" s="60"/>
      <c r="M292" s="61" t="str">
        <f t="shared" si="724"/>
        <v/>
      </c>
      <c r="N292" s="59"/>
      <c r="O292" s="60"/>
      <c r="P292" s="60"/>
      <c r="Q292" s="61" t="str">
        <f t="shared" si="725"/>
        <v/>
      </c>
      <c r="R292" s="59"/>
      <c r="S292" s="60"/>
      <c r="T292" s="60"/>
      <c r="U292" s="61" t="str">
        <f t="shared" si="726"/>
        <v/>
      </c>
      <c r="V292" s="104">
        <f t="shared" si="727"/>
        <v>0</v>
      </c>
      <c r="W292" s="64">
        <f t="shared" si="728"/>
        <v>0</v>
      </c>
      <c r="X292" s="65">
        <f t="shared" si="729"/>
        <v>0</v>
      </c>
      <c r="Y292" s="137" t="str">
        <f t="shared" si="730"/>
        <v/>
      </c>
      <c r="Z292" s="64">
        <f t="shared" si="731"/>
        <v>0</v>
      </c>
      <c r="AA292" s="60">
        <f t="shared" si="732"/>
        <v>0</v>
      </c>
      <c r="AB292" s="66">
        <f t="shared" si="733"/>
        <v>0</v>
      </c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</row>
    <row r="293" ht="15.75" hidden="1" customHeight="1">
      <c r="A293" s="57"/>
      <c r="B293" s="44" t="str">
        <f t="shared" ref="B293:C293" si="735">IF(B256="","",B256)</f>
        <v/>
      </c>
      <c r="C293" s="149" t="str">
        <f t="shared" si="735"/>
        <v/>
      </c>
      <c r="D293" s="46" t="str">
        <f t="shared" si="722"/>
        <v/>
      </c>
      <c r="E293" s="47" t="str">
        <f t="shared" si="647"/>
        <v/>
      </c>
      <c r="F293" s="48"/>
      <c r="G293" s="49"/>
      <c r="H293" s="49"/>
      <c r="I293" s="50" t="str">
        <f t="shared" si="723"/>
        <v/>
      </c>
      <c r="J293" s="48"/>
      <c r="K293" s="49"/>
      <c r="L293" s="49"/>
      <c r="M293" s="50" t="str">
        <f t="shared" si="724"/>
        <v/>
      </c>
      <c r="N293" s="48"/>
      <c r="O293" s="49"/>
      <c r="P293" s="49"/>
      <c r="Q293" s="50" t="str">
        <f t="shared" si="725"/>
        <v/>
      </c>
      <c r="R293" s="48"/>
      <c r="S293" s="49"/>
      <c r="T293" s="49"/>
      <c r="U293" s="50" t="str">
        <f t="shared" si="726"/>
        <v/>
      </c>
      <c r="V293" s="134">
        <f t="shared" si="727"/>
        <v>0</v>
      </c>
      <c r="W293" s="53">
        <f t="shared" si="728"/>
        <v>0</v>
      </c>
      <c r="X293" s="54">
        <f t="shared" si="729"/>
        <v>0</v>
      </c>
      <c r="Y293" s="137" t="str">
        <f t="shared" si="730"/>
        <v/>
      </c>
      <c r="Z293" s="53">
        <f t="shared" si="731"/>
        <v>0</v>
      </c>
      <c r="AA293" s="49">
        <f t="shared" si="732"/>
        <v>0</v>
      </c>
      <c r="AB293" s="56">
        <f t="shared" si="733"/>
        <v>0</v>
      </c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</row>
    <row r="294" ht="15.75" hidden="1" customHeight="1">
      <c r="A294" s="57"/>
      <c r="B294" s="44" t="str">
        <f t="shared" ref="B294:C294" si="736">IF(B257="","",B257)</f>
        <v/>
      </c>
      <c r="C294" s="149" t="str">
        <f t="shared" si="736"/>
        <v/>
      </c>
      <c r="D294" s="46" t="str">
        <f t="shared" si="722"/>
        <v/>
      </c>
      <c r="E294" s="47" t="str">
        <f t="shared" si="647"/>
        <v/>
      </c>
      <c r="F294" s="59"/>
      <c r="G294" s="60"/>
      <c r="H294" s="60"/>
      <c r="I294" s="61" t="str">
        <f t="shared" si="723"/>
        <v/>
      </c>
      <c r="J294" s="59"/>
      <c r="K294" s="60"/>
      <c r="L294" s="60"/>
      <c r="M294" s="61" t="str">
        <f t="shared" si="724"/>
        <v/>
      </c>
      <c r="N294" s="59"/>
      <c r="O294" s="60"/>
      <c r="P294" s="60"/>
      <c r="Q294" s="61" t="str">
        <f t="shared" si="725"/>
        <v/>
      </c>
      <c r="R294" s="59"/>
      <c r="S294" s="60"/>
      <c r="T294" s="60"/>
      <c r="U294" s="61" t="str">
        <f t="shared" si="726"/>
        <v/>
      </c>
      <c r="V294" s="104">
        <f t="shared" si="727"/>
        <v>0</v>
      </c>
      <c r="W294" s="64">
        <f t="shared" si="728"/>
        <v>0</v>
      </c>
      <c r="X294" s="62">
        <f t="shared" si="729"/>
        <v>0</v>
      </c>
      <c r="Y294" s="137" t="str">
        <f t="shared" si="730"/>
        <v/>
      </c>
      <c r="Z294" s="64">
        <f t="shared" si="731"/>
        <v>0</v>
      </c>
      <c r="AA294" s="60">
        <f t="shared" si="732"/>
        <v>0</v>
      </c>
      <c r="AB294" s="66">
        <f t="shared" si="733"/>
        <v>0</v>
      </c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</row>
    <row r="295" ht="15.75" hidden="1" customHeight="1">
      <c r="A295" s="57"/>
      <c r="B295" s="44" t="str">
        <f t="shared" ref="B295:C295" si="737">IF(B258="","",B258)</f>
        <v/>
      </c>
      <c r="C295" s="149" t="str">
        <f t="shared" si="737"/>
        <v/>
      </c>
      <c r="D295" s="46" t="str">
        <f t="shared" si="722"/>
        <v/>
      </c>
      <c r="E295" s="47" t="str">
        <f t="shared" si="647"/>
        <v/>
      </c>
      <c r="F295" s="48"/>
      <c r="G295" s="49"/>
      <c r="H295" s="49"/>
      <c r="I295" s="50" t="str">
        <f t="shared" si="723"/>
        <v/>
      </c>
      <c r="J295" s="48"/>
      <c r="K295" s="49"/>
      <c r="L295" s="49"/>
      <c r="M295" s="50" t="str">
        <f t="shared" si="724"/>
        <v/>
      </c>
      <c r="N295" s="48"/>
      <c r="O295" s="49"/>
      <c r="P295" s="49"/>
      <c r="Q295" s="50" t="str">
        <f t="shared" si="725"/>
        <v/>
      </c>
      <c r="R295" s="48"/>
      <c r="S295" s="49"/>
      <c r="T295" s="49"/>
      <c r="U295" s="50" t="str">
        <f t="shared" si="726"/>
        <v/>
      </c>
      <c r="V295" s="134">
        <f t="shared" si="727"/>
        <v>0</v>
      </c>
      <c r="W295" s="53">
        <f t="shared" si="728"/>
        <v>0</v>
      </c>
      <c r="X295" s="54">
        <f t="shared" si="729"/>
        <v>0</v>
      </c>
      <c r="Y295" s="137" t="str">
        <f t="shared" si="730"/>
        <v/>
      </c>
      <c r="Z295" s="53">
        <f t="shared" si="731"/>
        <v>0</v>
      </c>
      <c r="AA295" s="49">
        <f t="shared" si="732"/>
        <v>0</v>
      </c>
      <c r="AB295" s="56">
        <f t="shared" si="733"/>
        <v>0</v>
      </c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</row>
    <row r="296" ht="15.75" hidden="1" customHeight="1">
      <c r="A296" s="72"/>
      <c r="B296" s="73" t="str">
        <f t="shared" ref="B296:C296" si="738">IF(B259="","",B259)</f>
        <v/>
      </c>
      <c r="C296" s="150" t="str">
        <f t="shared" si="738"/>
        <v/>
      </c>
      <c r="D296" s="75">
        <f>ROUND(IFERROR((D290*(G290*H290+K290*L290+O290*P290+S290*T290)+D291*(G291*H291+K291*L291+O291*P291+S291*T291)+D292*(G292*H292+K292*L292+O292*P292+S292*T292)+D293*(G293*H293+K293*L293+O293*P293+S293*T293)+D294*(G294*H294+K294*L294+O294*P294+S294*T294)+D295*(G295*H295+K295*L295+O295*P295+S295*T295))/((G290*H290+K290*L290+O290*P290+S290*T290)+(G291*H291+K291*L291+O291*P291+S291*T291)+(G292*H292+K292*L292+O292*P292+S292*T292)+(G293*H293+K293*L293+O293*P293+S293*T293)+(G294*H294+K294*L294+O294*P294+S294*T294)+(G295*H295+K295*L295+O295*P295+S295*T295)),0),2)</f>
        <v>0</v>
      </c>
      <c r="E296" s="76" t="str">
        <f t="shared" si="647"/>
        <v/>
      </c>
      <c r="F296" s="77"/>
      <c r="G296" s="78"/>
      <c r="H296" s="78"/>
      <c r="I296" s="79"/>
      <c r="J296" s="77"/>
      <c r="K296" s="78"/>
      <c r="L296" s="78"/>
      <c r="M296" s="79"/>
      <c r="N296" s="77"/>
      <c r="O296" s="78"/>
      <c r="P296" s="78"/>
      <c r="Q296" s="79"/>
      <c r="R296" s="77"/>
      <c r="S296" s="78"/>
      <c r="T296" s="78"/>
      <c r="U296" s="79"/>
      <c r="V296" s="125">
        <f>SUM(V290:V295)</f>
        <v>0</v>
      </c>
      <c r="W296" s="82">
        <f t="shared" ref="W296:W297" si="740">IFERROR(V296/AA296,0)</f>
        <v>0</v>
      </c>
      <c r="X296" s="83">
        <f>ROUND(IFERROR(((I290*G290*H290+M290*K290*L290+Q290*O290*P290+U290*S290*T290)+(I291*G291*H291+M291*K291*L291+Q291*O291*P291+U291*S291*T291)+(I292*G292*H292+M292*K292*L292+Q292*O292*P292+U292*S292*T292)+(I293*G293*H293+M293*K293*L293+Q293*O293*P293+U293*S293*T293)+(I294*G294*H294+M294*K294*L294+Q294*O294*P294+U294*S294*T294)+(I295*G295*H295+M295*K295*L295+Q295*O295*P295+U295*S295*T295))/((G290*H290+K290*L290+O290*P290+S290*T290)+(G291*H291+K291*L291+O291*P291+S291*T291)+(G292*H292+K292*L292+O292*P292+S292*T292)+(G293*H293+K293*L293+O293*P293+S293*T293)+(G294*H294+K294*L294+O294*P294+S294*T294)+(G295*H295+K295*L295+O295*P295+S295*T295)),0),3)</f>
        <v>0</v>
      </c>
      <c r="Y296" s="84"/>
      <c r="Z296" s="82">
        <f t="shared" ref="Z296:AA296" si="739">SUM(Z290:Z295)</f>
        <v>0</v>
      </c>
      <c r="AA296" s="85">
        <f t="shared" si="739"/>
        <v>0</v>
      </c>
      <c r="AB296" s="86">
        <f>IF(SUM(AB290:AB295)=0,TIME(,0,),TIME(,SUM(AB290:AB295)+30,))</f>
        <v>0</v>
      </c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</row>
    <row r="297" ht="15.75" customHeight="1">
      <c r="A297" s="1" t="s">
        <v>54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3"/>
      <c r="V297" s="4">
        <f>V305+V312+V319+V326+V333</f>
        <v>18816.4</v>
      </c>
      <c r="W297" s="5">
        <f t="shared" si="740"/>
        <v>21.35800227</v>
      </c>
      <c r="X297" s="6"/>
      <c r="Y297" s="155">
        <v>0.01</v>
      </c>
      <c r="Z297" s="4" t="str">
        <f t="shared" ref="Z297:AB297" si="741">Z305+Z312+Z319+Z326+Z333</f>
        <v>#REF!</v>
      </c>
      <c r="AA297" s="4">
        <f t="shared" si="741"/>
        <v>881</v>
      </c>
      <c r="AB297" s="8">
        <f t="shared" si="741"/>
        <v>0.2208333333</v>
      </c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</row>
    <row r="298" ht="15.75" customHeight="1">
      <c r="A298" s="15" t="s">
        <v>1</v>
      </c>
      <c r="B298" s="16" t="s">
        <v>2</v>
      </c>
      <c r="C298" s="17" t="s">
        <v>3</v>
      </c>
      <c r="D298" s="18" t="s">
        <v>4</v>
      </c>
      <c r="E298" s="18" t="s">
        <v>5</v>
      </c>
      <c r="F298" s="16" t="s">
        <v>6</v>
      </c>
      <c r="G298" s="16" t="s">
        <v>7</v>
      </c>
      <c r="H298" s="16" t="s">
        <v>8</v>
      </c>
      <c r="I298" s="16" t="s">
        <v>9</v>
      </c>
      <c r="J298" s="16" t="s">
        <v>6</v>
      </c>
      <c r="K298" s="16" t="s">
        <v>7</v>
      </c>
      <c r="L298" s="16" t="s">
        <v>8</v>
      </c>
      <c r="M298" s="16" t="s">
        <v>9</v>
      </c>
      <c r="N298" s="16" t="s">
        <v>6</v>
      </c>
      <c r="O298" s="16" t="s">
        <v>7</v>
      </c>
      <c r="P298" s="16" t="s">
        <v>8</v>
      </c>
      <c r="Q298" s="16" t="s">
        <v>9</v>
      </c>
      <c r="R298" s="16" t="s">
        <v>6</v>
      </c>
      <c r="S298" s="16" t="s">
        <v>7</v>
      </c>
      <c r="T298" s="16" t="s">
        <v>8</v>
      </c>
      <c r="U298" s="16" t="s">
        <v>9</v>
      </c>
      <c r="V298" s="16" t="s">
        <v>10</v>
      </c>
      <c r="W298" s="18" t="s">
        <v>11</v>
      </c>
      <c r="X298" s="18" t="s">
        <v>12</v>
      </c>
      <c r="Y298" s="19" t="s">
        <v>13</v>
      </c>
      <c r="Z298" s="20" t="s">
        <v>14</v>
      </c>
      <c r="AA298" s="16" t="s">
        <v>15</v>
      </c>
      <c r="AB298" s="21" t="s">
        <v>16</v>
      </c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</row>
    <row r="299" ht="15.75" customHeight="1">
      <c r="A299" s="26" t="s">
        <v>17</v>
      </c>
      <c r="B299" s="27" t="s">
        <v>23</v>
      </c>
      <c r="C299" s="148" t="str">
        <f t="shared" ref="C299:C300" si="742">IF(C262="","",C262)</f>
        <v>Ягодичный мост со штангой</v>
      </c>
      <c r="D299" s="29">
        <f t="shared" ref="D299:D304" si="743">D262</f>
        <v>1</v>
      </c>
      <c r="E299" s="30" t="str">
        <f t="shared" ref="E299:E333" si="744">IF(E262="","",E262)</f>
        <v/>
      </c>
      <c r="F299" s="31">
        <f t="shared" ref="F299:F304" si="745">IF(I299&lt;&gt;0,(IFERROR(IF($Y299&gt;50,MROUND($Y299*I299,2.5),IF($Y299&lt;15,MROUND($Y299*I299,0.1),MROUND($Y299*I299,1))),)),"")</f>
        <v>47.5</v>
      </c>
      <c r="G299" s="32">
        <v>12.0</v>
      </c>
      <c r="H299" s="32">
        <v>1.0</v>
      </c>
      <c r="I299" s="33">
        <v>0.5</v>
      </c>
      <c r="J299" s="31">
        <f t="shared" ref="J299:J304" si="746">IF(M299&lt;&gt;0,(IFERROR(IF($Y299&gt;50,MROUND($Y299*M299,2.5),IF($Y299&lt;15,MROUND($Y299*M299,0.1),MROUND($Y299*M299,1))),)),"")</f>
        <v>57.5</v>
      </c>
      <c r="K299" s="32">
        <v>10.0</v>
      </c>
      <c r="L299" s="32">
        <v>1.0</v>
      </c>
      <c r="M299" s="33">
        <v>0.58</v>
      </c>
      <c r="N299" s="31">
        <f t="shared" ref="N299:N304" si="747">IF(Q299&lt;&gt;0,(IFERROR(IF($Y299&gt;50,MROUND($Y299*Q299,2.5),IF($Y299&lt;15,MROUND($Y299*Q299,0.1),MROUND($Y299*Q299,1))),)),"")</f>
        <v>62.5</v>
      </c>
      <c r="O299" s="32">
        <v>8.0</v>
      </c>
      <c r="P299" s="32">
        <v>3.0</v>
      </c>
      <c r="Q299" s="33">
        <v>0.64</v>
      </c>
      <c r="R299" s="31" t="str">
        <f t="shared" ref="R299:R304" si="748">IF(U299&lt;&gt;0,(IFERROR(IF($Y299&gt;50,MROUND($Y299*U299,2.5),IF($Y299&lt;15,MROUND($Y299*U299,0.1),MROUND($Y299*U299,1))),)),"")</f>
        <v/>
      </c>
      <c r="S299" s="32"/>
      <c r="T299" s="32"/>
      <c r="U299" s="34">
        <v>0.0</v>
      </c>
      <c r="V299" s="35">
        <f t="shared" ref="V299:V304" si="749">(IF(ISNUMBER(F299),F299,1)*G299*H299+IF(ISNUMBER(J299),J299,1)*K299*L299+IF(ISNUMBER(N299),N299,1)*O299*P299+IF(ISNUMBER(R299),R299,1)*S299*T299)*IF(ISNUMBER(E299),E299,1)</f>
        <v>2645</v>
      </c>
      <c r="W299" s="36">
        <f t="shared" ref="W299:W304" si="750">IFERROR((IF(ISNUMBER(F299),F299,1)*G299*H299+IF(ISNUMBER(J299),J299,1)*K299*L299+IF(ISNUMBER(N299),N299,1)*O299*P299+IF(ISNUMBER(R299),R299,1)*S299*T299)*IF(ISNUMBER(E299),E299,1)/(G299*H299+K299*L299+O299*P299+S299*T299),0)</f>
        <v>57.5</v>
      </c>
      <c r="X299" s="34">
        <f t="shared" ref="X299:X304" si="751">ROUND(IFERROR((W299/(Y299*IF(ISNUMBER(E299),E299,1))),0),2)</f>
        <v>0.59</v>
      </c>
      <c r="Y299" s="37">
        <f t="shared" ref="Y299:Y304" si="752">IF(ISNUMBER(Y262), Y262+(Y262*$Y$297),"")</f>
        <v>97.45710351</v>
      </c>
      <c r="Z299" s="36" t="str">
        <f t="shared" ref="Z299:Z304" si="753">(IF(I299&lt;30%,0,IF(I299&lt;35%,F299*G299*H299*F!$B$33,IF(I299&lt;40%,F299*G299*H299*F!$B$38,IF(I299&lt;45%,F299*G299*H299*F!$B$43,IF(I299&lt;50%,F299*G299*H299*F!$B$48,IF(I299=50%,F299*G299*H299*F!$B$50,IF(I299=51%,F299*G299*H299*F!$B$51,IF(I299=52%,F299*G299*H299*F!$B$52,IF(I299=53%,F299*G299*H299*F!$B$53,IF(I299=54%,F299*G299*H299*F!$B$54,IF(I299=55%,F299*G299*H299*F!$B$55,IF(I299=56%,F299*G299*H299*F!$B$56,IF(I299=57%,F299*G299*H299*F!$B$57,IF(I299=58%,F299*G299*H299*F!$B$58,IF(I299=59%,F299*G299*H299*F!$B$59,IF(I299=60%,F299*G299*H299*F!$B$60,IF(I299=61%,F299*G299*H299*F!$B$61,IF(I299=62%,F299*G299*H299*F!$B$62,IF(I299=63%,F299*G299*H299*F!$B$63,IF(I299=64%,F299*G299*H299*F!$B$64,IF(I299=65%,F299*G299*H299*F!$B$65,IF(I299=66%,F299*G299*H299*F!$B$66,IF(I299=67%,F299*G299*H299*F!$B$67,IF(I299=68%,F299*G299*H299*F!$B$68,IF(I299=69%,F299*G299*H299*F!$B$69,IF(I299=70%,F299*G299*H299*F!$B$70,IF(I299=71%,F299*G299*H299*F!$B$71,IF(I299=72%,F299*G299*H299*F!$B$72,IF(I299=73%,F299*G299*H299*F!$B$73,IF(I299=74%,F299*G299*H299*F!$B$74,IF(I299=75%,F299*G299*H299*F!$B$75,IF(I299=76%,F299*G299*H299*F!$B$76,IF(I299=77%,F299*G299*H299*F!$B$77,IF(I299=78%,F299*G299*H299*F!$B$78,IF(I299=79%,F299*G299*H299*F!$B$79,IF(I299=80%,F299*G299*H299*F!$B$80,IF(I299=81%,F299*G299*H299*F!$B$81,IF(I299=82%,F299*G299*H299*F!$B$82,IF(I299=83%,F299*G299*H299*F!$B$83,IF(I299=84%,F299*G299*H299*F!$B$84,IF(I299=85%,F299*G299*H299*F!$B$85,IF(I299=86%,F299*G299*H299*F!$B$86,IF(I299=87%,F299*G299*H299*F!$B$87,IF(I299=88%,F299*G299*H299*F!$B$88,IF(I299=89%,F299*G299*H299*F!$B$89,IF(I299=90%,F299*G299*H299*F!$B$90,IF(I299=91%,F299*G299*H299*F!$B$91,IF(I299=92%,F299*G299*H299*F!$B$92,IF(I299=93%,F299*G299*H299*F!$B$93,IF(I299=94%,F299*G299*H299*F!$B$94,IF(I299=95%,F299*G299*H299*F!$B$95,IF(I299=96%,F299*G299*H299*F!$B$96,IF(I299=97%,F299*G299*H299*F!$B$97,IF(I299=98%,F299*G299*H299*F!$B$98,IF(I299=99%,F299*G299*H299*F!$B$99,IF(I299&gt;99%,F299*G299*H299*F!$B$100,))))))))))))))))))))))))))))))))))))))))))))))))))))))))+IF(M299&lt;30%,0,IF(M299&lt;35%,J299*K299*L299*F!$B$33,IF(M299&lt;40%,J299*K299*L299*F!$B$38,IF(M299&lt;45%,J299*K299*L299*F!$B$43,IF(M299&lt;50%,J299*K299*L299*F!$B$48,IF(M299=50%,J299*K299*L299*F!$B$50,IF(M299=51%,J299*K299*L299*F!$B$51,IF(M299=52%,J299*K299*L299*F!$B$52,IF(M299=53%,J299*K299*L299*F!$B$53,IF(M299=54%,J299*K299*L299*F!$B$54,IF(M299=55%,J299*K299*L299*F!$B$55,IF(M299=56%,J299*K299*L299*F!$B$56,IF(M299=57%,J299*K299*L299*F!$B$57,IF(M299=58%,J299*K299*L299*F!$B$58,IF(M299=59%,J299*K299*L299*F!$B$59,IF(M299=60%,J299*K299*L299*F!$B$60,IF(M299=61%,J299*K299*L299*F!$B$61,IF(M299=62%,J299*K299*L299*F!$B$62,IF(M299=63%,J299*K299*L299*F!$B$63,IF(M299=64%,J299*K299*L299*F!$B$64,IF(M299=65%,J299*K299*L299*F!$B$65,IF(M299=66%,J299*K299*L299*F!$B$66,IF(M299=67%,J299*K299*L299*F!$B$67,IF(M299=68%,J299*K299*L299*F!$B$68,IF(M299=69%,J299*K299*L299*F!$B$69,IF(M299=70%,J299*K299*L299*F!$B$70,IF(M299=71%,J299*K299*L299*F!$B$71,IF(M299=72%,J299*K299*L299*F!$B$72,IF(M299=73%,J299*K299*L299*F!$B$73,IF(M299=74%,J299*K299*L299*F!$B$74,IF(M299=75%,J299*K299*L299*F!$B$75,IF(M299=76%,J299*K299*L299*F!$B$76,IF(M299=77%,J299*K299*L299*F!$B$77,IF(M299=78%,J299*K299*L299*F!$B$78,IF(M299=79%,J299*K299*L299*F!$B$79,IF(M299=80%,J299*K299*L299*F!$B$80,IF(M299=81%,J299*K299*L299*F!$B$81,IF(M299=82%,J299*K299*L299*F!$B$82,IF(M299=83%,J299*K299*L299*F!$B$83,IF(M299=84%,J299*K299*L299*F!$B$84,IF(M299=85%,J299*K299*L299*F!$B$85,IF(M299=86%,J299*K299*L299*F!$B$86,IF(M299=87%,J299*K299*L299*F!$B$87,IF(M299=88%,J299*K299*L299*F!$B$88,IF(M299=89%,J299*K299*L299*F!$B$89,IF(M299=90%,J299*K299*L299*F!$B$90,IF(M299=91%,J299*K299*L299*F!$B$91,IF(M299=92%,J299*K299*L299*F!$B$92,IF(M299=93%,J299*K299*L299*F!$B$93,IF(M299=94%,J299*K299*L299*F!$B$94,IF(M299=95%,J299*K299*L299*F!$B$95,IF(M299=96%,J299*K299*L299*F!$B$96,IF(M299=97%,J299*K299*L299*F!$B$97,IF(M299=98%,J299*K299*L299*F!$B$98,IF(M299=99%,J299*K299*L299*F!$B$99,IF(M299&gt;99%,J299*K299*L299*F!$B$100,))))))))))))))))))))))))))))))))))))))))))))))))))))))))+IF(Q299&lt;30%,0,IF(Q299&lt;35%,N299*O299*P299*F!$B$33,IF(Q299&lt;40%,N299*O299*P299*F!$B$38,IF(Q299&lt;45%,N299*O299*P299*F!$B$43,IF(Q299&lt;50%,N299*O299*P299*F!$B$48,IF(Q299=50%,N299*O299*P299*F!$B$50,IF(Q299=51%,N299*O299*P299*F!$B$51,IF(Q299=52%,N299*O299*P299*F!$B$52,IF(Q299=53%,N299*O299*P299*F!$B$53,IF(Q299=54%,N299*O299*P299*F!$B$54,IF(Q299=55%,N299*O299*P299*F!$B$55,IF(Q299=56%,N299*O299*P299*F!$B$56,IF(Q299=57%,N299*O299*P299*F!$B$57,IF(Q299=58%,N299*O299*P299*F!$B$58,IF(Q299=59%,N299*O299*P299*F!$B$59,IF(Q299=60%,N299*O299*P299*F!$B$60,IF(Q299=61%,N299*O299*P299*F!$B$61,IF(Q299=62%,N299*O299*P299*F!$B$62,IF(Q299=63%,N299*O299*P299*F!$B$63,IF(Q299=64%,N299*O299*P299*F!$B$64,IF(Q299=65%,N299*O299*P299*F!$B$65,IF(Q299=66%,N299*O299*P299*F!$B$66,IF(Q299=67%,N299*O299*P299*F!$B$67,IF(Q299=68%,N299*O299*P299*F!$B$68,IF(Q299=69%,N299*O299*P299*F!$B$69,IF(Q299=70%,N299*O299*P299*F!$B$70,IF(Q299=71%,N299*O299*P299*F!$B$71,IF(Q299=72%,N299*O299*P299*F!$B$72,IF(Q299=73%,N299*O299*P299*F!$B$73,IF(Q299=74%,N299*O299*P299*F!$B$74,IF(Q299=75%,N299*O299*P299*F!$B$75,IF(Q299=76%,N299*O299*P299*F!$B$76,IF(Q299=77%,N299*O299*P299*F!$B$77,IF(Q299=78%,N299*O299*P299*F!$B$78,IF(Q299=79%,N299*O299*P299*F!$B$79,IF(Q299=80%,N299*O299*P299*F!$B$80,IF(Q299=81%,N299*O299*P299*F!$B$81,IF(Q299=82%,N299*O299*P299*F!$B$82,IF(Q299=83%,N299*O299*P299*F!$B$83,IF(Q299=84%,N299*O299*P299*F!$B$84,IF(Q299=85%,N299*O299*P299*F!$B$85,IF(Q299=86%,N299*O299*P299*F!$B$86,IF(Q299=87%,N299*O299*P299*F!$B$87,IF(Q299=88%,N299*O299*P299*F!$B$88,IF(Q299=89%,N299*O299*P299*F!$B$89,IF(Q299=90%,N299*O299*P299*F!$B$90,IF(Q299=91%,N299*O299*P299*F!$B$91,IF(Q299=92%,N299*O299*P299*F!$B$92,IF(Q299=93%,N299*O299*P299*F!$B$93,IF(Q299=94%,N299*O299*P299*F!$B$94,IF(Q299=95%,N299*O299*P299*F!$B$95,IF(Q299=96%,N299*O299*P299*F!$B$96,IF(Q299=97%,N299*O299*P299*F!$B$97,IF(Q299=98%,N299*O299*P299*F!$B$98,IF(Q299=99%,N299*O299*P299*F!$B$99,IF(Q299&gt;99%,N299*O299*P299*F!$B$100,))))))))))))))))))))))))))))))))))))))))))))))))))))))))+IF(U299&lt;30%,0,IF(U299&lt;35%,R299*S299*T299*F!$B$33,IF(U299&lt;40%,R299*S299*T299*F!$B$38,IF(U299&lt;45%,R299*S299*T299*F!$B$43,IF(U299&lt;50%,R299*S299*T299*F!$B$48,IF(U299=50%,R299*S299*T299*F!$B$50,IF(U299=51%,R299*S299*T299*F!$B$51,IF(U299=52%,R299*S299*T299*F!$B$52,IF(U299=53%,R299*S299*T299*F!$B$53,IF(U299=54%,R299*S299*T299*F!$B$54,IF(U299=55%,R299*S299*T299*F!$B$55,IF(U299=56%,R299*S299*T299*F!$B$56,IF(U299=57%,R299*S299*T299*F!$B$57,IF(U299=58%,R299*S299*T299*F!$B$58,IF(U299=59%,R299*S299*T299*F!$B$59,IF(U299=60%,R299*S299*T299*F!$B$60,IF(U299=61%,R299*S299*T299*F!$B$61,IF(U299=62%,R299*S299*T299*F!$B$62,IF(U299=63%,R299*S299*T299*F!$B$63,IF(U299=64%,R299*S299*T299*F!$B$64,IF(U299=65%,R299*S299*T299*F!$B$65,IF(U299=66%,R299*S299*T299*F!$B$66,IF(U299=67%,R299*S299*T299*F!$B$67,IF(U299=68%,R299*S299*T299*F!$B$68,IF(U299=69%,R299*S299*T299*F!$B$69,IF(U299=70%,R299*S299*T299*F!$B$70,IF(U299=71%,R299*S299*T299*F!$B$71,IF(U299=72%,R299*S299*T299*F!$B$72,IF(U299=73%,R299*S299*T299*F!$B$73,IF(U299=74%,R299*S299*T299*F!$B$74,IF(U299=75%,R299*S299*T299*F!$B$75,IF(U299=76%,R299*S299*T299*F!$B$76,IF(U299=77%,R299*S299*T299*F!$B$77,IF(U299=78%,R299*S299*T299*F!$B$78,IF(U299=79%,R299*S299*T299*F!$B$79,IF(U299=80%,R299*S299*T299*F!$B$80,IF(U299=81%,R299*S299*T299*F!$B$81,IF(U299=82%,R299*S299*T299*F!$B$82,IF(U299=83%,R299*S299*T299*F!$B$83,IF(U299=84%,R299*S299*T299*F!$B$84,IF(U299=85%,R299*S299*T299*F!$B$85,IF(U299=86%,R299*S299*T299*F!$B$86,IF(U299=87%,R299*S299*T299*F!$B$87,IF(U299=88%,R299*S299*T299*F!$B$88,IF(U299=89%,R299*S299*T299*F!$B$89,IF(U299=90%,R299*S299*T299*F!$B$90,IF(U299=91%,R299*S299*T299*F!$B$91,IF(U299=92%,R299*S299*T299*F!$B$92,IF(U299=93%,R299*S299*T299*F!$B$93,IF(U299=94%,R299*S299*T299*F!$B$94,IF(U299=95%,R299*S299*T299*F!$B$95,IF(U299=96%,R299*S299*T299*F!$B$96,IF(U299=97%,R299*S299*T299*F!$B$97,IF(U299=98%,R299*S299*T299*F!$B$98,IF(U299=99%,R299*S299*T299*F!$B$99,IF(U299&gt;99%,R299*S299*T299*F!$B$100)))))))))))))))))))))))))))))))))))))))))))))))))))))))))*IF(ISNUMBER(E299),E299,1)*IF(ISNUMBER(D299),D299,1)</f>
        <v>#REF!</v>
      </c>
      <c r="AA299" s="32">
        <f t="shared" ref="AA299:AA304" si="754">G299*H299+K299*L299+O299*P299+S299*T299</f>
        <v>46</v>
      </c>
      <c r="AB299" s="38">
        <f t="shared" ref="AB299:AB304" si="755">(H299*(IF(I299&lt;45%,0.5,IF(I299&lt;55%,0.8,IF(I299&lt;65%,0.9,IF(I299&lt;75%,1,IF(I299&lt;85%,1.1,1.2))))))+L299*(IF(M299&lt;45%,0.5,IF(M299&lt;55%,0.8,IF(M299&lt;65%,0.9,IF(M299&lt;75%,1,IF(M299&lt;85%,1.1,1.2))))))+P299*(IF(Q299&lt;45%,0.5,IF(Q299&lt;55%,0.8,IF(Q299&lt;65%,0.9,IF(Q299&lt;75%,1,IF(Q299&lt;85%,1.1,1.2))))))+T299*(IF(U299&lt;45%,0.5,IF(U299&lt;55%,0.8,IF(U299&lt;65%,0.9,IF(U299&lt;75%,1,IF(U299&lt;85%,1.1,1.2)))))))*IF(D299&gt;=0.8,6,IF(D299&lt;=0.4,1.5,3))</f>
        <v>26.4</v>
      </c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</row>
    <row r="300" ht="15.0" customHeight="1">
      <c r="A300" s="43">
        <f>A263+7</f>
        <v>42387</v>
      </c>
      <c r="B300" s="44" t="s">
        <v>20</v>
      </c>
      <c r="C300" s="149" t="str">
        <f t="shared" si="742"/>
        <v>Болгарские выпады</v>
      </c>
      <c r="D300" s="46">
        <f t="shared" si="743"/>
        <v>0.3</v>
      </c>
      <c r="E300" s="47" t="str">
        <f t="shared" si="744"/>
        <v/>
      </c>
      <c r="F300" s="48">
        <f t="shared" si="745"/>
        <v>13</v>
      </c>
      <c r="G300" s="49">
        <v>12.0</v>
      </c>
      <c r="H300" s="49">
        <v>4.0</v>
      </c>
      <c r="I300" s="50">
        <v>0.39</v>
      </c>
      <c r="J300" s="48" t="str">
        <f t="shared" si="746"/>
        <v/>
      </c>
      <c r="K300" s="49"/>
      <c r="L300" s="49"/>
      <c r="M300" s="50">
        <v>0.0</v>
      </c>
      <c r="N300" s="48" t="str">
        <f t="shared" si="747"/>
        <v/>
      </c>
      <c r="O300" s="49"/>
      <c r="P300" s="49"/>
      <c r="Q300" s="50">
        <v>0.0</v>
      </c>
      <c r="R300" s="48" t="str">
        <f t="shared" si="748"/>
        <v/>
      </c>
      <c r="S300" s="49"/>
      <c r="T300" s="49"/>
      <c r="U300" s="51">
        <v>0.0</v>
      </c>
      <c r="V300" s="52">
        <f t="shared" si="749"/>
        <v>624</v>
      </c>
      <c r="W300" s="53">
        <f t="shared" si="750"/>
        <v>13</v>
      </c>
      <c r="X300" s="54">
        <f t="shared" si="751"/>
        <v>0.4</v>
      </c>
      <c r="Y300" s="137">
        <f t="shared" si="752"/>
        <v>32.48570117</v>
      </c>
      <c r="Z300" s="53" t="str">
        <f t="shared" si="753"/>
        <v>#REF!</v>
      </c>
      <c r="AA300" s="49">
        <f t="shared" si="754"/>
        <v>48</v>
      </c>
      <c r="AB300" s="56">
        <f t="shared" si="755"/>
        <v>3</v>
      </c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</row>
    <row r="301" ht="15.75" customHeight="1">
      <c r="A301" s="57"/>
      <c r="B301" s="44" t="str">
        <f t="shared" ref="B301:C301" si="756">IF(B264="","",B264)</f>
        <v>Средняя</v>
      </c>
      <c r="C301" s="149" t="str">
        <f t="shared" si="756"/>
        <v>Разведение ног в тренажёре</v>
      </c>
      <c r="D301" s="46">
        <f t="shared" si="743"/>
        <v>0.3</v>
      </c>
      <c r="E301" s="47">
        <f t="shared" si="744"/>
        <v>5</v>
      </c>
      <c r="F301" s="59">
        <f t="shared" si="745"/>
        <v>4.9</v>
      </c>
      <c r="G301" s="60">
        <v>12.0</v>
      </c>
      <c r="H301" s="60">
        <v>1.0</v>
      </c>
      <c r="I301" s="61">
        <v>0.45</v>
      </c>
      <c r="J301" s="59">
        <f t="shared" si="746"/>
        <v>6</v>
      </c>
      <c r="K301" s="60">
        <v>12.0</v>
      </c>
      <c r="L301" s="60">
        <v>3.0</v>
      </c>
      <c r="M301" s="61">
        <v>0.55</v>
      </c>
      <c r="N301" s="59" t="str">
        <f t="shared" si="747"/>
        <v/>
      </c>
      <c r="O301" s="60"/>
      <c r="P301" s="60"/>
      <c r="Q301" s="61">
        <v>0.0</v>
      </c>
      <c r="R301" s="59" t="str">
        <f t="shared" si="748"/>
        <v/>
      </c>
      <c r="S301" s="60"/>
      <c r="T301" s="60"/>
      <c r="U301" s="62">
        <v>0.0</v>
      </c>
      <c r="V301" s="63">
        <f t="shared" si="749"/>
        <v>1374</v>
      </c>
      <c r="W301" s="64">
        <f t="shared" si="750"/>
        <v>28.625</v>
      </c>
      <c r="X301" s="65">
        <f t="shared" si="751"/>
        <v>0.53</v>
      </c>
      <c r="Y301" s="137">
        <f t="shared" si="752"/>
        <v>10.82856706</v>
      </c>
      <c r="Z301" s="64" t="str">
        <f t="shared" si="753"/>
        <v>#REF!</v>
      </c>
      <c r="AA301" s="60">
        <f t="shared" si="754"/>
        <v>48</v>
      </c>
      <c r="AB301" s="66">
        <f t="shared" si="755"/>
        <v>5.25</v>
      </c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 ht="15.75" customHeight="1">
      <c r="A302" s="57"/>
      <c r="B302" s="44" t="s">
        <v>23</v>
      </c>
      <c r="C302" s="149" t="str">
        <f t="shared" ref="C302:C303" si="757">IF(C265="","",C265)</f>
        <v>Присед</v>
      </c>
      <c r="D302" s="46">
        <f t="shared" si="743"/>
        <v>1.2</v>
      </c>
      <c r="E302" s="47" t="str">
        <f t="shared" si="744"/>
        <v/>
      </c>
      <c r="F302" s="48">
        <f t="shared" si="745"/>
        <v>30</v>
      </c>
      <c r="G302" s="49">
        <v>10.0</v>
      </c>
      <c r="H302" s="49">
        <v>1.0</v>
      </c>
      <c r="I302" s="50">
        <v>0.55</v>
      </c>
      <c r="J302" s="67">
        <f t="shared" si="746"/>
        <v>35</v>
      </c>
      <c r="K302" s="49">
        <v>8.0</v>
      </c>
      <c r="L302" s="49">
        <v>4.0</v>
      </c>
      <c r="M302" s="50">
        <v>0.65</v>
      </c>
      <c r="N302" s="48" t="str">
        <f t="shared" si="747"/>
        <v/>
      </c>
      <c r="O302" s="49"/>
      <c r="P302" s="49"/>
      <c r="Q302" s="50">
        <v>0.0</v>
      </c>
      <c r="R302" s="48" t="str">
        <f t="shared" si="748"/>
        <v/>
      </c>
      <c r="S302" s="49"/>
      <c r="T302" s="49"/>
      <c r="U302" s="51">
        <v>0.0</v>
      </c>
      <c r="V302" s="52">
        <f t="shared" si="749"/>
        <v>1420</v>
      </c>
      <c r="W302" s="53">
        <f t="shared" si="750"/>
        <v>33.80952381</v>
      </c>
      <c r="X302" s="54">
        <f t="shared" si="751"/>
        <v>0.62</v>
      </c>
      <c r="Y302" s="137">
        <f t="shared" si="752"/>
        <v>54.14283528</v>
      </c>
      <c r="Z302" s="53" t="str">
        <f t="shared" si="753"/>
        <v>#REF!</v>
      </c>
      <c r="AA302" s="49">
        <f t="shared" si="754"/>
        <v>42</v>
      </c>
      <c r="AB302" s="56">
        <f t="shared" si="755"/>
        <v>29.4</v>
      </c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ht="15.75" customHeight="1">
      <c r="A303" s="57"/>
      <c r="B303" s="44" t="s">
        <v>18</v>
      </c>
      <c r="C303" s="149" t="str">
        <f t="shared" si="757"/>
        <v>Жим гантелей вверх</v>
      </c>
      <c r="D303" s="46">
        <f t="shared" si="743"/>
        <v>1.2</v>
      </c>
      <c r="E303" s="47">
        <f t="shared" si="744"/>
        <v>2</v>
      </c>
      <c r="F303" s="59">
        <f t="shared" si="745"/>
        <v>3.7</v>
      </c>
      <c r="G303" s="60">
        <v>10.0</v>
      </c>
      <c r="H303" s="60">
        <v>5.0</v>
      </c>
      <c r="I303" s="61">
        <v>0.49</v>
      </c>
      <c r="J303" s="59" t="str">
        <f t="shared" si="746"/>
        <v/>
      </c>
      <c r="K303" s="60"/>
      <c r="L303" s="60"/>
      <c r="M303" s="61">
        <v>0.0</v>
      </c>
      <c r="N303" s="59" t="str">
        <f t="shared" si="747"/>
        <v/>
      </c>
      <c r="O303" s="60"/>
      <c r="P303" s="60"/>
      <c r="Q303" s="61">
        <v>0.0</v>
      </c>
      <c r="R303" s="59" t="str">
        <f t="shared" si="748"/>
        <v/>
      </c>
      <c r="S303" s="60"/>
      <c r="T303" s="60"/>
      <c r="U303" s="62">
        <v>0.0</v>
      </c>
      <c r="V303" s="63">
        <f t="shared" si="749"/>
        <v>370</v>
      </c>
      <c r="W303" s="64">
        <f t="shared" si="750"/>
        <v>7.4</v>
      </c>
      <c r="X303" s="62">
        <f t="shared" si="751"/>
        <v>0.49</v>
      </c>
      <c r="Y303" s="137">
        <f t="shared" si="752"/>
        <v>7.579996939</v>
      </c>
      <c r="Z303" s="64" t="str">
        <f t="shared" si="753"/>
        <v>#REF!</v>
      </c>
      <c r="AA303" s="60">
        <f t="shared" si="754"/>
        <v>50</v>
      </c>
      <c r="AB303" s="66">
        <f t="shared" si="755"/>
        <v>24</v>
      </c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 ht="15.75" customHeight="1">
      <c r="A304" s="57"/>
      <c r="B304" s="44" t="str">
        <f t="shared" ref="B304:C304" si="758">IF(B267="","",B267)</f>
        <v>Средняя</v>
      </c>
      <c r="C304" s="149" t="str">
        <f t="shared" si="758"/>
        <v>Разведение гантелей в стороны</v>
      </c>
      <c r="D304" s="46">
        <f t="shared" si="743"/>
        <v>0.4</v>
      </c>
      <c r="E304" s="47">
        <f t="shared" si="744"/>
        <v>2</v>
      </c>
      <c r="F304" s="48">
        <f t="shared" si="745"/>
        <v>3.4</v>
      </c>
      <c r="G304" s="49">
        <v>12.0</v>
      </c>
      <c r="H304" s="49">
        <v>4.0</v>
      </c>
      <c r="I304" s="50">
        <v>0.52</v>
      </c>
      <c r="J304" s="48" t="str">
        <f t="shared" si="746"/>
        <v/>
      </c>
      <c r="K304" s="49"/>
      <c r="L304" s="49"/>
      <c r="M304" s="50">
        <v>0.0</v>
      </c>
      <c r="N304" s="48" t="str">
        <f t="shared" si="747"/>
        <v/>
      </c>
      <c r="O304" s="49"/>
      <c r="P304" s="49"/>
      <c r="Q304" s="50">
        <v>0.0</v>
      </c>
      <c r="R304" s="48" t="str">
        <f t="shared" si="748"/>
        <v/>
      </c>
      <c r="S304" s="49"/>
      <c r="T304" s="49"/>
      <c r="U304" s="51">
        <v>0.0</v>
      </c>
      <c r="V304" s="52">
        <f t="shared" si="749"/>
        <v>326.4</v>
      </c>
      <c r="W304" s="53">
        <f t="shared" si="750"/>
        <v>6.8</v>
      </c>
      <c r="X304" s="54">
        <f t="shared" si="751"/>
        <v>0.52</v>
      </c>
      <c r="Y304" s="137">
        <f t="shared" si="752"/>
        <v>6.497140234</v>
      </c>
      <c r="Z304" s="53" t="str">
        <f t="shared" si="753"/>
        <v>#REF!</v>
      </c>
      <c r="AA304" s="49">
        <f t="shared" si="754"/>
        <v>48</v>
      </c>
      <c r="AB304" s="56">
        <f t="shared" si="755"/>
        <v>4.8</v>
      </c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 ht="15.75" customHeight="1">
      <c r="A305" s="72"/>
      <c r="B305" s="73" t="str">
        <f t="shared" ref="B305:C305" si="759">IF(B268="","",B268)</f>
        <v/>
      </c>
      <c r="C305" s="174" t="str">
        <f t="shared" si="759"/>
        <v>Разгибание рук на блоке</v>
      </c>
      <c r="D305" s="75">
        <f>ROUND(IFERROR((D299*(G299*H299+K299*L299+O299*P299+S299*T299)+D300*(G300*H300+K300*L300+O300*P300+S300*T300)+D301*(G301*H301+K301*L301+O301*P301+S301*T301)+D302*(G302*H302+K302*L302+O302*P302+S302*T302)+D303*(G303*H303+K303*L303+O303*P303+S303*T303)+D304*(G304*H304+K304*L304+O304*P304+S304*T304))/((G299*H299+K299*L299+O299*P299+S299*T299)+(G300*H300+K300*L300+O300*P300+S300*T300)+(G301*H301+K301*L301+O301*P301+S301*T301)+(G302*H302+K302*L302+O302*P302+S302*T302)+(G303*H303+K303*L303+O303*P303+S303*T303)+(G304*H304+K304*L304+O304*P304+S304*T304)),0),2)</f>
        <v>0.72</v>
      </c>
      <c r="E305" s="76" t="str">
        <f t="shared" si="744"/>
        <v/>
      </c>
      <c r="F305" s="77"/>
      <c r="G305" s="78"/>
      <c r="H305" s="78"/>
      <c r="I305" s="79"/>
      <c r="J305" s="77"/>
      <c r="K305" s="78"/>
      <c r="L305" s="78"/>
      <c r="M305" s="79"/>
      <c r="N305" s="77"/>
      <c r="O305" s="78"/>
      <c r="P305" s="78"/>
      <c r="Q305" s="79"/>
      <c r="R305" s="77"/>
      <c r="S305" s="78"/>
      <c r="T305" s="78"/>
      <c r="U305" s="80"/>
      <c r="V305" s="81">
        <f>SUM(V299:V304)</f>
        <v>6759.4</v>
      </c>
      <c r="W305" s="82">
        <f>IFERROR(V305/AA305,0)</f>
        <v>23.96950355</v>
      </c>
      <c r="X305" s="83">
        <f>ROUND(IFERROR(((I299*G299*H299+M299*K299*L299+Q299*O299*P299+U299*S299*T299)+(I300*G300*H300+M300*K300*L300+Q300*O300*P300+U300*S300*T300)+(I301*G301*H301+M301*K301*L301+Q301*O301*P301+U301*S301*T301)+(I302*G302*H302+M302*K302*L302+Q302*O302*P302+U302*S302*T302)+(I303*G303*H303+M303*K303*L303+Q303*O303*P303+U303*S303*T303)+(I304*G304*H304+M304*K304*L304+Q304*O304*P304+U304*S304*T304))/((G299*H299+K299*L299+O299*P299+S299*T299)+(G300*H300+K300*L300+O300*P300+S300*T300)+(G301*H301+K301*L301+O301*P301+S301*T301)+(G302*H302+K302*L302+O302*P302+S302*T302)+(G303*H303+K303*L303+O303*P303+S303*T303)+(G304*H304+K304*L304+O304*P304+S304*T304)),0),3)</f>
        <v>0.521</v>
      </c>
      <c r="Y305" s="84"/>
      <c r="Z305" s="82" t="str">
        <f t="shared" ref="Z305:AA305" si="760">SUM(Z299:Z304)</f>
        <v>#REF!</v>
      </c>
      <c r="AA305" s="85">
        <f t="shared" si="760"/>
        <v>282</v>
      </c>
      <c r="AB305" s="86">
        <f>IF(SUM(AB299:AB304)=0,TIME(,0,),TIME(,SUM(AB299:AB304)+30,))</f>
        <v>0.08472222222</v>
      </c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 ht="15.75" customHeight="1">
      <c r="A306" s="88" t="s">
        <v>28</v>
      </c>
      <c r="B306" s="89" t="s">
        <v>23</v>
      </c>
      <c r="C306" s="141" t="str">
        <f t="shared" ref="C306:C307" si="761">IF(C269="","",C269)</f>
        <v>Румынская тяга</v>
      </c>
      <c r="D306" s="29">
        <f t="shared" ref="D306:D311" si="762">D269</f>
        <v>1</v>
      </c>
      <c r="E306" s="91" t="str">
        <f t="shared" si="744"/>
        <v/>
      </c>
      <c r="F306" s="92">
        <f t="shared" ref="F306:F311" si="763">IF(I306&lt;&gt;0,(IFERROR(IF($Y306&gt;50,MROUND($Y306*I306,2.5),IF($Y306&lt;15,MROUND($Y306*I306,0.1),MROUND($Y306*I306,1))),)),"")</f>
        <v>27.5</v>
      </c>
      <c r="G306" s="93">
        <v>12.0</v>
      </c>
      <c r="H306" s="93">
        <v>1.0</v>
      </c>
      <c r="I306" s="94">
        <v>0.45</v>
      </c>
      <c r="J306" s="92">
        <f t="shared" ref="J306:J311" si="764">IF(M306&lt;&gt;0,(IFERROR(IF($Y306&gt;50,MROUND($Y306*M306,2.5),IF($Y306&lt;15,MROUND($Y306*M306,0.1),MROUND($Y306*M306,1))),)),"")</f>
        <v>32.5</v>
      </c>
      <c r="K306" s="93">
        <v>10.0</v>
      </c>
      <c r="L306" s="93">
        <v>1.0</v>
      </c>
      <c r="M306" s="94">
        <v>0.55</v>
      </c>
      <c r="N306" s="92">
        <f t="shared" ref="N306:N311" si="765">IF(Q306&lt;&gt;0,(IFERROR(IF($Y306&gt;50,MROUND($Y306*Q306,2.5),IF($Y306&lt;15,MROUND($Y306*Q306,0.1),MROUND($Y306*Q306,1))),)),"")</f>
        <v>37.5</v>
      </c>
      <c r="O306" s="93">
        <v>10.0</v>
      </c>
      <c r="P306" s="93">
        <v>1.0</v>
      </c>
      <c r="Q306" s="94">
        <v>0.62</v>
      </c>
      <c r="R306" s="92">
        <f t="shared" ref="R306:R311" si="766">IF(U306&lt;&gt;0,(IFERROR(IF($Y306&gt;50,MROUND($Y306*U306,2.5),IF($Y306&lt;15,MROUND($Y306*U306,0.1),MROUND($Y306*U306,1))),)),"")</f>
        <v>42.5</v>
      </c>
      <c r="S306" s="93">
        <v>8.0</v>
      </c>
      <c r="T306" s="93">
        <v>3.0</v>
      </c>
      <c r="U306" s="94">
        <v>0.7</v>
      </c>
      <c r="V306" s="95">
        <f t="shared" ref="V306:V311" si="767">(IF(ISNUMBER(F306),F306,1)*G306*H306+IF(ISNUMBER(J306),J306,1)*K306*L306+IF(ISNUMBER(N306),N306,1)*O306*P306+IF(ISNUMBER(R306),R306,1)*S306*T306)*IF(ISNUMBER(E306),E306,1)</f>
        <v>2050</v>
      </c>
      <c r="W306" s="96">
        <f t="shared" ref="W306:W311" si="768">IFERROR((IF(ISNUMBER(F306),F306,1)*G306*H306+IF(ISNUMBER(J306),J306,1)*K306*L306+IF(ISNUMBER(N306),N306,1)*O306*P306+IF(ISNUMBER(R306),R306,1)*S306*T306)*IF(ISNUMBER(E306),E306,1)/(G306*H306+K306*L306+O306*P306+S306*T306),0)</f>
        <v>36.60714286</v>
      </c>
      <c r="X306" s="97">
        <f t="shared" ref="X306:X311" si="769">ROUND(IFERROR((W306/(Y306*IF(ISNUMBER(E306),E306,1))),0),2)</f>
        <v>0.61</v>
      </c>
      <c r="Y306" s="37">
        <f t="shared" ref="Y306:Y311" si="770">IF(ISNUMBER(Y269), Y269+(Y269*$Y$297),"")</f>
        <v>59.55711881</v>
      </c>
      <c r="Z306" s="96" t="str">
        <f t="shared" ref="Z306:Z311" si="771">(IF(I306&lt;30%,0,IF(I306&lt;35%,F306*G306*H306*F!$B$33,IF(I306&lt;40%,F306*G306*H306*F!$B$38,IF(I306&lt;45%,F306*G306*H306*F!$B$43,IF(I306&lt;50%,F306*G306*H306*F!$B$48,IF(I306=50%,F306*G306*H306*F!$B$50,IF(I306=51%,F306*G306*H306*F!$B$51,IF(I306=52%,F306*G306*H306*F!$B$52,IF(I306=53%,F306*G306*H306*F!$B$53,IF(I306=54%,F306*G306*H306*F!$B$54,IF(I306=55%,F306*G306*H306*F!$B$55,IF(I306=56%,F306*G306*H306*F!$B$56,IF(I306=57%,F306*G306*H306*F!$B$57,IF(I306=58%,F306*G306*H306*F!$B$58,IF(I306=59%,F306*G306*H306*F!$B$59,IF(I306=60%,F306*G306*H306*F!$B$60,IF(I306=61%,F306*G306*H306*F!$B$61,IF(I306=62%,F306*G306*H306*F!$B$62,IF(I306=63%,F306*G306*H306*F!$B$63,IF(I306=64%,F306*G306*H306*F!$B$64,IF(I306=65%,F306*G306*H306*F!$B$65,IF(I306=66%,F306*G306*H306*F!$B$66,IF(I306=67%,F306*G306*H306*F!$B$67,IF(I306=68%,F306*G306*H306*F!$B$68,IF(I306=69%,F306*G306*H306*F!$B$69,IF(I306=70%,F306*G306*H306*F!$B$70,IF(I306=71%,F306*G306*H306*F!$B$71,IF(I306=72%,F306*G306*H306*F!$B$72,IF(I306=73%,F306*G306*H306*F!$B$73,IF(I306=74%,F306*G306*H306*F!$B$74,IF(I306=75%,F306*G306*H306*F!$B$75,IF(I306=76%,F306*G306*H306*F!$B$76,IF(I306=77%,F306*G306*H306*F!$B$77,IF(I306=78%,F306*G306*H306*F!$B$78,IF(I306=79%,F306*G306*H306*F!$B$79,IF(I306=80%,F306*G306*H306*F!$B$80,IF(I306=81%,F306*G306*H306*F!$B$81,IF(I306=82%,F306*G306*H306*F!$B$82,IF(I306=83%,F306*G306*H306*F!$B$83,IF(I306=84%,F306*G306*H306*F!$B$84,IF(I306=85%,F306*G306*H306*F!$B$85,IF(I306=86%,F306*G306*H306*F!$B$86,IF(I306=87%,F306*G306*H306*F!$B$87,IF(I306=88%,F306*G306*H306*F!$B$88,IF(I306=89%,F306*G306*H306*F!$B$89,IF(I306=90%,F306*G306*H306*F!$B$90,IF(I306=91%,F306*G306*H306*F!$B$91,IF(I306=92%,F306*G306*H306*F!$B$92,IF(I306=93%,F306*G306*H306*F!$B$93,IF(I306=94%,F306*G306*H306*F!$B$94,IF(I306=95%,F306*G306*H306*F!$B$95,IF(I306=96%,F306*G306*H306*F!$B$96,IF(I306=97%,F306*G306*H306*F!$B$97,IF(I306=98%,F306*G306*H306*F!$B$98,IF(I306=99%,F306*G306*H306*F!$B$99,IF(I306&gt;99%,F306*G306*H306*F!$B$100,))))))))))))))))))))))))))))))))))))))))))))))))))))))))+IF(M306&lt;30%,0,IF(M306&lt;35%,J306*K306*L306*F!$B$33,IF(M306&lt;40%,J306*K306*L306*F!$B$38,IF(M306&lt;45%,J306*K306*L306*F!$B$43,IF(M306&lt;50%,J306*K306*L306*F!$B$48,IF(M306=50%,J306*K306*L306*F!$B$50,IF(M306=51%,J306*K306*L306*F!$B$51,IF(M306=52%,J306*K306*L306*F!$B$52,IF(M306=53%,J306*K306*L306*F!$B$53,IF(M306=54%,J306*K306*L306*F!$B$54,IF(M306=55%,J306*K306*L306*F!$B$55,IF(M306=56%,J306*K306*L306*F!$B$56,IF(M306=57%,J306*K306*L306*F!$B$57,IF(M306=58%,J306*K306*L306*F!$B$58,IF(M306=59%,J306*K306*L306*F!$B$59,IF(M306=60%,J306*K306*L306*F!$B$60,IF(M306=61%,J306*K306*L306*F!$B$61,IF(M306=62%,J306*K306*L306*F!$B$62,IF(M306=63%,J306*K306*L306*F!$B$63,IF(M306=64%,J306*K306*L306*F!$B$64,IF(M306=65%,J306*K306*L306*F!$B$65,IF(M306=66%,J306*K306*L306*F!$B$66,IF(M306=67%,J306*K306*L306*F!$B$67,IF(M306=68%,J306*K306*L306*F!$B$68,IF(M306=69%,J306*K306*L306*F!$B$69,IF(M306=70%,J306*K306*L306*F!$B$70,IF(M306=71%,J306*K306*L306*F!$B$71,IF(M306=72%,J306*K306*L306*F!$B$72,IF(M306=73%,J306*K306*L306*F!$B$73,IF(M306=74%,J306*K306*L306*F!$B$74,IF(M306=75%,J306*K306*L306*F!$B$75,IF(M306=76%,J306*K306*L306*F!$B$76,IF(M306=77%,J306*K306*L306*F!$B$77,IF(M306=78%,J306*K306*L306*F!$B$78,IF(M306=79%,J306*K306*L306*F!$B$79,IF(M306=80%,J306*K306*L306*F!$B$80,IF(M306=81%,J306*K306*L306*F!$B$81,IF(M306=82%,J306*K306*L306*F!$B$82,IF(M306=83%,J306*K306*L306*F!$B$83,IF(M306=84%,J306*K306*L306*F!$B$84,IF(M306=85%,J306*K306*L306*F!$B$85,IF(M306=86%,J306*K306*L306*F!$B$86,IF(M306=87%,J306*K306*L306*F!$B$87,IF(M306=88%,J306*K306*L306*F!$B$88,IF(M306=89%,J306*K306*L306*F!$B$89,IF(M306=90%,J306*K306*L306*F!$B$90,IF(M306=91%,J306*K306*L306*F!$B$91,IF(M306=92%,J306*K306*L306*F!$B$92,IF(M306=93%,J306*K306*L306*F!$B$93,IF(M306=94%,J306*K306*L306*F!$B$94,IF(M306=95%,J306*K306*L306*F!$B$95,IF(M306=96%,J306*K306*L306*F!$B$96,IF(M306=97%,J306*K306*L306*F!$B$97,IF(M306=98%,J306*K306*L306*F!$B$98,IF(M306=99%,J306*K306*L306*F!$B$99,IF(M306&gt;99%,J306*K306*L306*F!$B$100,))))))))))))))))))))))))))))))))))))))))))))))))))))))))+IF(Q306&lt;30%,0,IF(Q306&lt;35%,N306*O306*P306*F!$B$33,IF(Q306&lt;40%,N306*O306*P306*F!$B$38,IF(Q306&lt;45%,N306*O306*P306*F!$B$43,IF(Q306&lt;50%,N306*O306*P306*F!$B$48,IF(Q306=50%,N306*O306*P306*F!$B$50,IF(Q306=51%,N306*O306*P306*F!$B$51,IF(Q306=52%,N306*O306*P306*F!$B$52,IF(Q306=53%,N306*O306*P306*F!$B$53,IF(Q306=54%,N306*O306*P306*F!$B$54,IF(Q306=55%,N306*O306*P306*F!$B$55,IF(Q306=56%,N306*O306*P306*F!$B$56,IF(Q306=57%,N306*O306*P306*F!$B$57,IF(Q306=58%,N306*O306*P306*F!$B$58,IF(Q306=59%,N306*O306*P306*F!$B$59,IF(Q306=60%,N306*O306*P306*F!$B$60,IF(Q306=61%,N306*O306*P306*F!$B$61,IF(Q306=62%,N306*O306*P306*F!$B$62,IF(Q306=63%,N306*O306*P306*F!$B$63,IF(Q306=64%,N306*O306*P306*F!$B$64,IF(Q306=65%,N306*O306*P306*F!$B$65,IF(Q306=66%,N306*O306*P306*F!$B$66,IF(Q306=67%,N306*O306*P306*F!$B$67,IF(Q306=68%,N306*O306*P306*F!$B$68,IF(Q306=69%,N306*O306*P306*F!$B$69,IF(Q306=70%,N306*O306*P306*F!$B$70,IF(Q306=71%,N306*O306*P306*F!$B$71,IF(Q306=72%,N306*O306*P306*F!$B$72,IF(Q306=73%,N306*O306*P306*F!$B$73,IF(Q306=74%,N306*O306*P306*F!$B$74,IF(Q306=75%,N306*O306*P306*F!$B$75,IF(Q306=76%,N306*O306*P306*F!$B$76,IF(Q306=77%,N306*O306*P306*F!$B$77,IF(Q306=78%,N306*O306*P306*F!$B$78,IF(Q306=79%,N306*O306*P306*F!$B$79,IF(Q306=80%,N306*O306*P306*F!$B$80,IF(Q306=81%,N306*O306*P306*F!$B$81,IF(Q306=82%,N306*O306*P306*F!$B$82,IF(Q306=83%,N306*O306*P306*F!$B$83,IF(Q306=84%,N306*O306*P306*F!$B$84,IF(Q306=85%,N306*O306*P306*F!$B$85,IF(Q306=86%,N306*O306*P306*F!$B$86,IF(Q306=87%,N306*O306*P306*F!$B$87,IF(Q306=88%,N306*O306*P306*F!$B$88,IF(Q306=89%,N306*O306*P306*F!$B$89,IF(Q306=90%,N306*O306*P306*F!$B$90,IF(Q306=91%,N306*O306*P306*F!$B$91,IF(Q306=92%,N306*O306*P306*F!$B$92,IF(Q306=93%,N306*O306*P306*F!$B$93,IF(Q306=94%,N306*O306*P306*F!$B$94,IF(Q306=95%,N306*O306*P306*F!$B$95,IF(Q306=96%,N306*O306*P306*F!$B$96,IF(Q306=97%,N306*O306*P306*F!$B$97,IF(Q306=98%,N306*O306*P306*F!$B$98,IF(Q306=99%,N306*O306*P306*F!$B$99,IF(Q306&gt;99%,N306*O306*P306*F!$B$100,))))))))))))))))))))))))))))))))))))))))))))))))))))))))+IF(U306&lt;30%,0,IF(U306&lt;35%,R306*S306*T306*F!$B$33,IF(U306&lt;40%,R306*S306*T306*F!$B$38,IF(U306&lt;45%,R306*S306*T306*F!$B$43,IF(U306&lt;50%,R306*S306*T306*F!$B$48,IF(U306=50%,R306*S306*T306*F!$B$50,IF(U306=51%,R306*S306*T306*F!$B$51,IF(U306=52%,R306*S306*T306*F!$B$52,IF(U306=53%,R306*S306*T306*F!$B$53,IF(U306=54%,R306*S306*T306*F!$B$54,IF(U306=55%,R306*S306*T306*F!$B$55,IF(U306=56%,R306*S306*T306*F!$B$56,IF(U306=57%,R306*S306*T306*F!$B$57,IF(U306=58%,R306*S306*T306*F!$B$58,IF(U306=59%,R306*S306*T306*F!$B$59,IF(U306=60%,R306*S306*T306*F!$B$60,IF(U306=61%,R306*S306*T306*F!$B$61,IF(U306=62%,R306*S306*T306*F!$B$62,IF(U306=63%,R306*S306*T306*F!$B$63,IF(U306=64%,R306*S306*T306*F!$B$64,IF(U306=65%,R306*S306*T306*F!$B$65,IF(U306=66%,R306*S306*T306*F!$B$66,IF(U306=67%,R306*S306*T306*F!$B$67,IF(U306=68%,R306*S306*T306*F!$B$68,IF(U306=69%,R306*S306*T306*F!$B$69,IF(U306=70%,R306*S306*T306*F!$B$70,IF(U306=71%,R306*S306*T306*F!$B$71,IF(U306=72%,R306*S306*T306*F!$B$72,IF(U306=73%,R306*S306*T306*F!$B$73,IF(U306=74%,R306*S306*T306*F!$B$74,IF(U306=75%,R306*S306*T306*F!$B$75,IF(U306=76%,R306*S306*T306*F!$B$76,IF(U306=77%,R306*S306*T306*F!$B$77,IF(U306=78%,R306*S306*T306*F!$B$78,IF(U306=79%,R306*S306*T306*F!$B$79,IF(U306=80%,R306*S306*T306*F!$B$80,IF(U306=81%,R306*S306*T306*F!$B$81,IF(U306=82%,R306*S306*T306*F!$B$82,IF(U306=83%,R306*S306*T306*F!$B$83,IF(U306=84%,R306*S306*T306*F!$B$84,IF(U306=85%,R306*S306*T306*F!$B$85,IF(U306=86%,R306*S306*T306*F!$B$86,IF(U306=87%,R306*S306*T306*F!$B$87,IF(U306=88%,R306*S306*T306*F!$B$88,IF(U306=89%,R306*S306*T306*F!$B$89,IF(U306=90%,R306*S306*T306*F!$B$90,IF(U306=91%,R306*S306*T306*F!$B$91,IF(U306=92%,R306*S306*T306*F!$B$92,IF(U306=93%,R306*S306*T306*F!$B$93,IF(U306=94%,R306*S306*T306*F!$B$94,IF(U306=95%,R306*S306*T306*F!$B$95,IF(U306=96%,R306*S306*T306*F!$B$96,IF(U306=97%,R306*S306*T306*F!$B$97,IF(U306=98%,R306*S306*T306*F!$B$98,IF(U306=99%,R306*S306*T306*F!$B$99,IF(U306&gt;99%,R306*S306*T306*F!$B$100)))))))))))))))))))))))))))))))))))))))))))))))))))))))))*IF(ISNUMBER(E306),E306,1)*IF(ISNUMBER(D306),D306,1)</f>
        <v>#REF!</v>
      </c>
      <c r="AA306" s="93">
        <f t="shared" ref="AA306:AA311" si="772">G306*H306+K306*L306+O306*P306+S306*T306</f>
        <v>56</v>
      </c>
      <c r="AB306" s="99">
        <f t="shared" ref="AB306:AB311" si="773">(H306*(IF(I306&lt;45%,0.5,IF(I306&lt;55%,0.8,IF(I306&lt;65%,0.9,IF(I306&lt;75%,1,IF(I306&lt;85%,1.1,1.2))))))+L306*(IF(M306&lt;45%,0.5,IF(M306&lt;55%,0.8,IF(M306&lt;65%,0.9,IF(M306&lt;75%,1,IF(M306&lt;85%,1.1,1.2))))))+P306*(IF(Q306&lt;45%,0.5,IF(Q306&lt;55%,0.8,IF(Q306&lt;65%,0.9,IF(Q306&lt;75%,1,IF(Q306&lt;85%,1.1,1.2))))))+T306*(IF(U306&lt;45%,0.5,IF(U306&lt;55%,0.8,IF(U306&lt;65%,0.9,IF(U306&lt;75%,1,IF(U306&lt;85%,1.1,1.2)))))))*IF(D306&gt;=0.8,6,IF(D306&lt;=0.4,1.5,3))</f>
        <v>33.6</v>
      </c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 ht="15.0" customHeight="1">
      <c r="A307" s="43">
        <f>A300+2</f>
        <v>42389</v>
      </c>
      <c r="B307" s="101" t="s">
        <v>18</v>
      </c>
      <c r="C307" s="143" t="str">
        <f t="shared" si="761"/>
        <v>Выпады назад</v>
      </c>
      <c r="D307" s="46">
        <f t="shared" si="762"/>
        <v>1</v>
      </c>
      <c r="E307" s="144">
        <f t="shared" si="744"/>
        <v>2</v>
      </c>
      <c r="F307" s="59">
        <f t="shared" si="763"/>
        <v>7</v>
      </c>
      <c r="G307" s="60">
        <v>12.0</v>
      </c>
      <c r="H307" s="60">
        <v>1.0</v>
      </c>
      <c r="I307" s="61">
        <v>0.45</v>
      </c>
      <c r="J307" s="59">
        <f t="shared" si="764"/>
        <v>8</v>
      </c>
      <c r="K307" s="60">
        <v>12.0</v>
      </c>
      <c r="L307" s="60">
        <v>4.0</v>
      </c>
      <c r="M307" s="61">
        <v>0.54</v>
      </c>
      <c r="N307" s="59" t="str">
        <f t="shared" si="765"/>
        <v/>
      </c>
      <c r="O307" s="60"/>
      <c r="P307" s="60"/>
      <c r="Q307" s="61">
        <v>0.0</v>
      </c>
      <c r="R307" s="59" t="str">
        <f t="shared" si="766"/>
        <v/>
      </c>
      <c r="S307" s="60"/>
      <c r="T307" s="60"/>
      <c r="U307" s="61">
        <v>0.0</v>
      </c>
      <c r="V307" s="104">
        <f t="shared" si="767"/>
        <v>936</v>
      </c>
      <c r="W307" s="64">
        <f t="shared" si="768"/>
        <v>15.6</v>
      </c>
      <c r="X307" s="65">
        <f t="shared" si="769"/>
        <v>0.51</v>
      </c>
      <c r="Y307" s="137">
        <f t="shared" si="770"/>
        <v>15.15999388</v>
      </c>
      <c r="Z307" s="64" t="str">
        <f t="shared" si="771"/>
        <v>#REF!</v>
      </c>
      <c r="AA307" s="60">
        <f t="shared" si="772"/>
        <v>60</v>
      </c>
      <c r="AB307" s="66">
        <f t="shared" si="773"/>
        <v>24</v>
      </c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 ht="15.75" customHeight="1">
      <c r="A308" s="57"/>
      <c r="B308" s="101" t="str">
        <f t="shared" ref="B308:C308" si="774">IF(B271="","",B271)</f>
        <v>Легкая</v>
      </c>
      <c r="C308" s="143" t="str">
        <f t="shared" si="774"/>
        <v>Отведение ноги назад</v>
      </c>
      <c r="D308" s="46">
        <f t="shared" si="762"/>
        <v>0.3</v>
      </c>
      <c r="E308" s="144">
        <f t="shared" si="744"/>
        <v>4</v>
      </c>
      <c r="F308" s="105">
        <f t="shared" si="763"/>
        <v>2.1</v>
      </c>
      <c r="G308" s="106">
        <v>12.0</v>
      </c>
      <c r="H308" s="106">
        <v>3.0</v>
      </c>
      <c r="I308" s="107">
        <v>0.39</v>
      </c>
      <c r="J308" s="105" t="str">
        <f t="shared" si="764"/>
        <v/>
      </c>
      <c r="K308" s="106"/>
      <c r="L308" s="106"/>
      <c r="M308" s="107">
        <v>0.0</v>
      </c>
      <c r="N308" s="105" t="str">
        <f t="shared" si="765"/>
        <v/>
      </c>
      <c r="O308" s="106"/>
      <c r="P308" s="106"/>
      <c r="Q308" s="107">
        <v>0.0</v>
      </c>
      <c r="R308" s="105" t="str">
        <f t="shared" si="766"/>
        <v/>
      </c>
      <c r="S308" s="106"/>
      <c r="T308" s="106"/>
      <c r="U308" s="107">
        <v>0.0</v>
      </c>
      <c r="V308" s="108">
        <f t="shared" si="767"/>
        <v>302.4</v>
      </c>
      <c r="W308" s="109">
        <f t="shared" si="768"/>
        <v>8.4</v>
      </c>
      <c r="X308" s="110">
        <f t="shared" si="769"/>
        <v>0.39</v>
      </c>
      <c r="Y308" s="137">
        <f t="shared" si="770"/>
        <v>5.414283528</v>
      </c>
      <c r="Z308" s="109" t="str">
        <f t="shared" si="771"/>
        <v>#REF!</v>
      </c>
      <c r="AA308" s="106">
        <f t="shared" si="772"/>
        <v>36</v>
      </c>
      <c r="AB308" s="111">
        <f t="shared" si="773"/>
        <v>2.25</v>
      </c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 ht="15.75" customHeight="1">
      <c r="A309" s="57"/>
      <c r="B309" s="101" t="str">
        <f t="shared" ref="B309:C309" si="775">IF(B272="","",B272)</f>
        <v>Легкая</v>
      </c>
      <c r="C309" s="143" t="str">
        <f t="shared" si="775"/>
        <v>Тяга верхнего блока</v>
      </c>
      <c r="D309" s="46">
        <f t="shared" si="762"/>
        <v>0.3</v>
      </c>
      <c r="E309" s="144">
        <f t="shared" si="744"/>
        <v>4</v>
      </c>
      <c r="F309" s="59">
        <f t="shared" si="763"/>
        <v>3.2</v>
      </c>
      <c r="G309" s="60">
        <v>12.0</v>
      </c>
      <c r="H309" s="60">
        <v>3.0</v>
      </c>
      <c r="I309" s="61">
        <v>0.37</v>
      </c>
      <c r="J309" s="59" t="str">
        <f t="shared" si="764"/>
        <v/>
      </c>
      <c r="K309" s="60"/>
      <c r="L309" s="60"/>
      <c r="M309" s="61">
        <v>0.0</v>
      </c>
      <c r="N309" s="59" t="str">
        <f t="shared" si="765"/>
        <v/>
      </c>
      <c r="O309" s="60"/>
      <c r="P309" s="60"/>
      <c r="Q309" s="61">
        <v>0.0</v>
      </c>
      <c r="R309" s="59" t="str">
        <f t="shared" si="766"/>
        <v/>
      </c>
      <c r="S309" s="60"/>
      <c r="T309" s="60"/>
      <c r="U309" s="61">
        <v>0.0</v>
      </c>
      <c r="V309" s="104">
        <f t="shared" si="767"/>
        <v>460.8</v>
      </c>
      <c r="W309" s="64">
        <f t="shared" si="768"/>
        <v>12.8</v>
      </c>
      <c r="X309" s="65">
        <f t="shared" si="769"/>
        <v>0.37</v>
      </c>
      <c r="Y309" s="137">
        <f t="shared" si="770"/>
        <v>8.662853645</v>
      </c>
      <c r="Z309" s="64" t="str">
        <f t="shared" si="771"/>
        <v>#REF!</v>
      </c>
      <c r="AA309" s="60">
        <f t="shared" si="772"/>
        <v>36</v>
      </c>
      <c r="AB309" s="66">
        <f t="shared" si="773"/>
        <v>2.25</v>
      </c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 ht="15.75" customHeight="1">
      <c r="A310" s="57"/>
      <c r="B310" s="101" t="str">
        <f t="shared" ref="B310:C310" si="776">IF(B273="","",B273)</f>
        <v>Средняя</v>
      </c>
      <c r="C310" s="143" t="str">
        <f t="shared" si="776"/>
        <v>Тяга горизонтального блока</v>
      </c>
      <c r="D310" s="46">
        <f t="shared" si="762"/>
        <v>0.3</v>
      </c>
      <c r="E310" s="144">
        <f t="shared" si="744"/>
        <v>4</v>
      </c>
      <c r="F310" s="105">
        <f t="shared" si="763"/>
        <v>4.4</v>
      </c>
      <c r="G310" s="106">
        <v>12.0</v>
      </c>
      <c r="H310" s="106">
        <v>1.0</v>
      </c>
      <c r="I310" s="107">
        <v>0.45</v>
      </c>
      <c r="J310" s="105">
        <f t="shared" si="764"/>
        <v>5.2</v>
      </c>
      <c r="K310" s="106">
        <v>12.0</v>
      </c>
      <c r="L310" s="106">
        <v>4.0</v>
      </c>
      <c r="M310" s="107">
        <v>0.53</v>
      </c>
      <c r="N310" s="105" t="str">
        <f t="shared" si="765"/>
        <v/>
      </c>
      <c r="O310" s="106"/>
      <c r="P310" s="106"/>
      <c r="Q310" s="107">
        <v>0.0</v>
      </c>
      <c r="R310" s="105" t="str">
        <f t="shared" si="766"/>
        <v/>
      </c>
      <c r="S310" s="106"/>
      <c r="T310" s="106"/>
      <c r="U310" s="107">
        <v>0.0</v>
      </c>
      <c r="V310" s="108">
        <f t="shared" si="767"/>
        <v>1209.6</v>
      </c>
      <c r="W310" s="109">
        <f t="shared" si="768"/>
        <v>20.16</v>
      </c>
      <c r="X310" s="117">
        <f t="shared" si="769"/>
        <v>0.52</v>
      </c>
      <c r="Y310" s="137">
        <f t="shared" si="770"/>
        <v>9.745710351</v>
      </c>
      <c r="Z310" s="109" t="str">
        <f t="shared" si="771"/>
        <v>#REF!</v>
      </c>
      <c r="AA310" s="106">
        <f t="shared" si="772"/>
        <v>60</v>
      </c>
      <c r="AB310" s="111">
        <f t="shared" si="773"/>
        <v>6</v>
      </c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 ht="15.75" customHeight="1">
      <c r="A311" s="57"/>
      <c r="B311" s="101" t="str">
        <f t="shared" ref="B311:C311" si="777">IF(B274="","",B274)</f>
        <v>Средняя</v>
      </c>
      <c r="C311" s="143" t="str">
        <f t="shared" si="777"/>
        <v>Разведения в тренажёре на заднюю дельту</v>
      </c>
      <c r="D311" s="46">
        <f t="shared" si="762"/>
        <v>0.3</v>
      </c>
      <c r="E311" s="144">
        <f t="shared" si="744"/>
        <v>4</v>
      </c>
      <c r="F311" s="59">
        <f t="shared" si="763"/>
        <v>1.9</v>
      </c>
      <c r="G311" s="60">
        <v>12.0</v>
      </c>
      <c r="H311" s="60">
        <v>1.0</v>
      </c>
      <c r="I311" s="61">
        <v>0.43</v>
      </c>
      <c r="J311" s="59">
        <f t="shared" si="764"/>
        <v>2.4</v>
      </c>
      <c r="K311" s="60">
        <v>10.0</v>
      </c>
      <c r="L311" s="60">
        <v>3.0</v>
      </c>
      <c r="M311" s="61">
        <v>0.55</v>
      </c>
      <c r="N311" s="59" t="str">
        <f t="shared" si="765"/>
        <v/>
      </c>
      <c r="O311" s="60"/>
      <c r="P311" s="60"/>
      <c r="Q311" s="61">
        <v>0.0</v>
      </c>
      <c r="R311" s="59" t="str">
        <f t="shared" si="766"/>
        <v/>
      </c>
      <c r="S311" s="60"/>
      <c r="T311" s="60"/>
      <c r="U311" s="61">
        <v>0.0</v>
      </c>
      <c r="V311" s="104">
        <f t="shared" si="767"/>
        <v>379.2</v>
      </c>
      <c r="W311" s="64">
        <f t="shared" si="768"/>
        <v>9.028571429</v>
      </c>
      <c r="X311" s="65">
        <f t="shared" si="769"/>
        <v>0.52</v>
      </c>
      <c r="Y311" s="137">
        <f t="shared" si="770"/>
        <v>4.331426823</v>
      </c>
      <c r="Z311" s="64" t="str">
        <f t="shared" si="771"/>
        <v>#REF!</v>
      </c>
      <c r="AA311" s="60">
        <f t="shared" si="772"/>
        <v>42</v>
      </c>
      <c r="AB311" s="66">
        <f t="shared" si="773"/>
        <v>4.8</v>
      </c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 ht="15.75" customHeight="1">
      <c r="A312" s="72"/>
      <c r="B312" s="119" t="str">
        <f t="shared" ref="B312:C312" si="778">IF(B275="","",B275)</f>
        <v/>
      </c>
      <c r="C312" s="146" t="str">
        <f t="shared" si="778"/>
        <v>Сгибания рук с гантелями</v>
      </c>
      <c r="D312" s="75">
        <f>ROUND(IFERROR((D306*(G306*H306+K306*L306+O306*P306+S306*T306)+D307*(G307*H307+K307*L307+O307*P307+S307*T307)+D308*(G308*H308+K308*L308+O308*P308+S308*T308)+D309*(G309*H309+K309*L309+O309*P309+S309*T309)+D310*(G310*H310+K310*L310+O310*P310+S310*T310)+D311*(G311*H311+K311*L311+O311*P311+S311*T311))/((G306*H306+K306*L306+O306*P306+S306*T306)+(G307*H307+K307*L307+O307*P307+S307*T307)+(G308*H308+K308*L308+O308*P308+S308*T308)+(G309*H309+K309*L309+O309*P309+S309*T309)+(G310*H310+K310*L310+O310*P310+S310*T310)+(G311*H311+K311*L311+O311*P311+S311*T311)),0),2)</f>
        <v>0.58</v>
      </c>
      <c r="E312" s="121" t="str">
        <f t="shared" si="744"/>
        <v/>
      </c>
      <c r="F312" s="122"/>
      <c r="G312" s="123"/>
      <c r="H312" s="123"/>
      <c r="I312" s="124"/>
      <c r="J312" s="122"/>
      <c r="K312" s="123"/>
      <c r="L312" s="123"/>
      <c r="M312" s="124"/>
      <c r="N312" s="122"/>
      <c r="O312" s="123"/>
      <c r="P312" s="123"/>
      <c r="Q312" s="124"/>
      <c r="R312" s="122"/>
      <c r="S312" s="123"/>
      <c r="T312" s="123"/>
      <c r="U312" s="124"/>
      <c r="V312" s="125">
        <f>SUM(V306:V311)</f>
        <v>5338</v>
      </c>
      <c r="W312" s="82">
        <f>IFERROR(V312/AA312,0)</f>
        <v>18.40689655</v>
      </c>
      <c r="X312" s="83">
        <f>ROUND(IFERROR(((I306*G306*H306+M306*K306*L306+Q306*O306*P306+U306*S306*T306)+(I307*G307*H307+M307*K307*L307+Q307*O307*P307+U307*S307*T307)+(I308*G308*H308+M308*K308*L308+Q308*O308*P308+U308*S308*T308)+(I309*G309*H309+M309*K309*L309+Q309*O309*P309+U309*S309*T309)+(I310*G310*H310+M310*K310*L310+Q310*O310*P310+U310*S310*T310)+(I311*G311*H311+M311*K311*L311+Q311*O311*P311+U311*S311*T311))/((G306*H306+K306*L306+O306*P306+S306*T306)+(G307*H307+K307*L307+O307*P307+S307*T307)+(G308*H308+K308*L308+O308*P308+S308*T308)+(G309*H309+K309*L309+O309*P309+S309*T309)+(G310*H310+K310*L310+O310*P310+S310*T310)+(G311*H311+K311*L311+O311*P311+S311*T311)),0),3)</f>
        <v>0.5</v>
      </c>
      <c r="Y312" s="84"/>
      <c r="Z312" s="82" t="str">
        <f t="shared" ref="Z312:AA312" si="779">SUM(Z306:Z311)</f>
        <v>#REF!</v>
      </c>
      <c r="AA312" s="85">
        <f t="shared" si="779"/>
        <v>290</v>
      </c>
      <c r="AB312" s="86">
        <f>IF(SUM(AB306:AB311)=0,TIME(,0,),TIME(,SUM(AB306:AB311)+30,))</f>
        <v>0.07083333333</v>
      </c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 ht="15.75" customHeight="1">
      <c r="A313" s="126" t="s">
        <v>36</v>
      </c>
      <c r="B313" s="127" t="s">
        <v>18</v>
      </c>
      <c r="C313" s="176" t="str">
        <f>IF(C276="","",C276)</f>
        <v>Ягодичный мост</v>
      </c>
      <c r="D313" s="29">
        <f t="shared" ref="D313:D318" si="781">D276</f>
        <v>1.3</v>
      </c>
      <c r="E313" s="129" t="str">
        <f t="shared" si="744"/>
        <v/>
      </c>
      <c r="F313" s="31">
        <f t="shared" ref="F313:F318" si="782">IF(I313&lt;&gt;0,(IFERROR(IF($Y313&gt;50,MROUND($Y313*I313,2.5),IF($Y313&lt;15,MROUND($Y313*I313,0.1),MROUND($Y313*I313,1))),)),"")</f>
        <v>42.5</v>
      </c>
      <c r="G313" s="32">
        <v>12.0</v>
      </c>
      <c r="H313" s="32">
        <v>1.0</v>
      </c>
      <c r="I313" s="33">
        <v>0.4</v>
      </c>
      <c r="J313" s="31">
        <f t="shared" ref="J313:J318" si="783">IF(M313&lt;&gt;0,(IFERROR(IF($Y313&gt;50,MROUND($Y313*M313,2.5),IF($Y313&lt;15,MROUND($Y313*M313,0.1),MROUND($Y313*M313,1))),)),"")</f>
        <v>57.5</v>
      </c>
      <c r="K313" s="32">
        <v>10.0</v>
      </c>
      <c r="L313" s="32">
        <v>5.0</v>
      </c>
      <c r="M313" s="33">
        <v>0.52</v>
      </c>
      <c r="N313" s="31" t="str">
        <f t="shared" ref="N313:N318" si="784">IF(Q313&lt;&gt;0,(IFERROR(IF($Y313&gt;50,MROUND($Y313*Q313,2.5),IF($Y313&lt;15,MROUND($Y313*Q313,0.1),MROUND($Y313*Q313,1))),)),"")</f>
        <v/>
      </c>
      <c r="O313" s="32"/>
      <c r="P313" s="32"/>
      <c r="Q313" s="33">
        <v>0.0</v>
      </c>
      <c r="R313" s="31" t="str">
        <f t="shared" ref="R313:R318" si="785">IF(U313&lt;&gt;0,(IFERROR(IF($Y313&gt;50,MROUND($Y313*U313,2.5),IF($Y313&lt;15,MROUND($Y313*U313,0.1),MROUND($Y313*U313,1))),)),"")</f>
        <v/>
      </c>
      <c r="S313" s="32"/>
      <c r="T313" s="32"/>
      <c r="U313" s="33">
        <v>0.0</v>
      </c>
      <c r="V313" s="130">
        <f t="shared" ref="V313:V318" si="786">(IF(ISNUMBER(F313),F313,1)*G313*H313+IF(ISNUMBER(J313),J313,1)*K313*L313+IF(ISNUMBER(N313),N313,1)*O313*P313+IF(ISNUMBER(R313),R313,1)*S313*T313)*IF(ISNUMBER(E313),E313,1)</f>
        <v>3385</v>
      </c>
      <c r="W313" s="36">
        <f t="shared" ref="W313:W318" si="787">IFERROR((IF(ISNUMBER(F313),F313,1)*G313*H313+IF(ISNUMBER(J313),J313,1)*K313*L313+IF(ISNUMBER(N313),N313,1)*O313*P313+IF(ISNUMBER(R313),R313,1)*S313*T313)*IF(ISNUMBER(E313),E313,1)/(G313*H313+K313*L313+O313*P313+S313*T313),0)</f>
        <v>54.59677419</v>
      </c>
      <c r="X313" s="34">
        <f t="shared" ref="X313:X318" si="788">ROUND(IFERROR((W313/(Y313*IF(ISNUMBER(E313),E313,1))),0),2)</f>
        <v>0.5</v>
      </c>
      <c r="Y313" s="37">
        <f t="shared" ref="Y313:Y318" si="789">IF(ISNUMBER(Y276), Y276+(Y276*$Y$297),"")</f>
        <v>108.2856706</v>
      </c>
      <c r="Z313" s="36" t="str">
        <f t="shared" ref="Z313:Z318" si="790">(IF(I313&lt;30%,0,IF(I313&lt;35%,F313*G313*H313*F!$B$33,IF(I313&lt;40%,F313*G313*H313*F!$B$38,IF(I313&lt;45%,F313*G313*H313*F!$B$43,IF(I313&lt;50%,F313*G313*H313*F!$B$48,IF(I313=50%,F313*G313*H313*F!$B$50,IF(I313=51%,F313*G313*H313*F!$B$51,IF(I313=52%,F313*G313*H313*F!$B$52,IF(I313=53%,F313*G313*H313*F!$B$53,IF(I313=54%,F313*G313*H313*F!$B$54,IF(I313=55%,F313*G313*H313*F!$B$55,IF(I313=56%,F313*G313*H313*F!$B$56,IF(I313=57%,F313*G313*H313*F!$B$57,IF(I313=58%,F313*G313*H313*F!$B$58,IF(I313=59%,F313*G313*H313*F!$B$59,IF(I313=60%,F313*G313*H313*F!$B$60,IF(I313=61%,F313*G313*H313*F!$B$61,IF(I313=62%,F313*G313*H313*F!$B$62,IF(I313=63%,F313*G313*H313*F!$B$63,IF(I313=64%,F313*G313*H313*F!$B$64,IF(I313=65%,F313*G313*H313*F!$B$65,IF(I313=66%,F313*G313*H313*F!$B$66,IF(I313=67%,F313*G313*H313*F!$B$67,IF(I313=68%,F313*G313*H313*F!$B$68,IF(I313=69%,F313*G313*H313*F!$B$69,IF(I313=70%,F313*G313*H313*F!$B$70,IF(I313=71%,F313*G313*H313*F!$B$71,IF(I313=72%,F313*G313*H313*F!$B$72,IF(I313=73%,F313*G313*H313*F!$B$73,IF(I313=74%,F313*G313*H313*F!$B$74,IF(I313=75%,F313*G313*H313*F!$B$75,IF(I313=76%,F313*G313*H313*F!$B$76,IF(I313=77%,F313*G313*H313*F!$B$77,IF(I313=78%,F313*G313*H313*F!$B$78,IF(I313=79%,F313*G313*H313*F!$B$79,IF(I313=80%,F313*G313*H313*F!$B$80,IF(I313=81%,F313*G313*H313*F!$B$81,IF(I313=82%,F313*G313*H313*F!$B$82,IF(I313=83%,F313*G313*H313*F!$B$83,IF(I313=84%,F313*G313*H313*F!$B$84,IF(I313=85%,F313*G313*H313*F!$B$85,IF(I313=86%,F313*G313*H313*F!$B$86,IF(I313=87%,F313*G313*H313*F!$B$87,IF(I313=88%,F313*G313*H313*F!$B$88,IF(I313=89%,F313*G313*H313*F!$B$89,IF(I313=90%,F313*G313*H313*F!$B$90,IF(I313=91%,F313*G313*H313*F!$B$91,IF(I313=92%,F313*G313*H313*F!$B$92,IF(I313=93%,F313*G313*H313*F!$B$93,IF(I313=94%,F313*G313*H313*F!$B$94,IF(I313=95%,F313*G313*H313*F!$B$95,IF(I313=96%,F313*G313*H313*F!$B$96,IF(I313=97%,F313*G313*H313*F!$B$97,IF(I313=98%,F313*G313*H313*F!$B$98,IF(I313=99%,F313*G313*H313*F!$B$99,IF(I313&gt;99%,F313*G313*H313*F!$B$100,))))))))))))))))))))))))))))))))))))))))))))))))))))))))+IF(M313&lt;30%,0,IF(M313&lt;35%,J313*K313*L313*F!$B$33,IF(M313&lt;40%,J313*K313*L313*F!$B$38,IF(M313&lt;45%,J313*K313*L313*F!$B$43,IF(M313&lt;50%,J313*K313*L313*F!$B$48,IF(M313=50%,J313*K313*L313*F!$B$50,IF(M313=51%,J313*K313*L313*F!$B$51,IF(M313=52%,J313*K313*L313*F!$B$52,IF(M313=53%,J313*K313*L313*F!$B$53,IF(M313=54%,J313*K313*L313*F!$B$54,IF(M313=55%,J313*K313*L313*F!$B$55,IF(M313=56%,J313*K313*L313*F!$B$56,IF(M313=57%,J313*K313*L313*F!$B$57,IF(M313=58%,J313*K313*L313*F!$B$58,IF(M313=59%,J313*K313*L313*F!$B$59,IF(M313=60%,J313*K313*L313*F!$B$60,IF(M313=61%,J313*K313*L313*F!$B$61,IF(M313=62%,J313*K313*L313*F!$B$62,IF(M313=63%,J313*K313*L313*F!$B$63,IF(M313=64%,J313*K313*L313*F!$B$64,IF(M313=65%,J313*K313*L313*F!$B$65,IF(M313=66%,J313*K313*L313*F!$B$66,IF(M313=67%,J313*K313*L313*F!$B$67,IF(M313=68%,J313*K313*L313*F!$B$68,IF(M313=69%,J313*K313*L313*F!$B$69,IF(M313=70%,J313*K313*L313*F!$B$70,IF(M313=71%,J313*K313*L313*F!$B$71,IF(M313=72%,J313*K313*L313*F!$B$72,IF(M313=73%,J313*K313*L313*F!$B$73,IF(M313=74%,J313*K313*L313*F!$B$74,IF(M313=75%,J313*K313*L313*F!$B$75,IF(M313=76%,J313*K313*L313*F!$B$76,IF(M313=77%,J313*K313*L313*F!$B$77,IF(M313=78%,J313*K313*L313*F!$B$78,IF(M313=79%,J313*K313*L313*F!$B$79,IF(M313=80%,J313*K313*L313*F!$B$80,IF(M313=81%,J313*K313*L313*F!$B$81,IF(M313=82%,J313*K313*L313*F!$B$82,IF(M313=83%,J313*K313*L313*F!$B$83,IF(M313=84%,J313*K313*L313*F!$B$84,IF(M313=85%,J313*K313*L313*F!$B$85,IF(M313=86%,J313*K313*L313*F!$B$86,IF(M313=87%,J313*K313*L313*F!$B$87,IF(M313=88%,J313*K313*L313*F!$B$88,IF(M313=89%,J313*K313*L313*F!$B$89,IF(M313=90%,J313*K313*L313*F!$B$90,IF(M313=91%,J313*K313*L313*F!$B$91,IF(M313=92%,J313*K313*L313*F!$B$92,IF(M313=93%,J313*K313*L313*F!$B$93,IF(M313=94%,J313*K313*L313*F!$B$94,IF(M313=95%,J313*K313*L313*F!$B$95,IF(M313=96%,J313*K313*L313*F!$B$96,IF(M313=97%,J313*K313*L313*F!$B$97,IF(M313=98%,J313*K313*L313*F!$B$98,IF(M313=99%,J313*K313*L313*F!$B$99,IF(M313&gt;99%,J313*K313*L313*F!$B$100,))))))))))))))))))))))))))))))))))))))))))))))))))))))))+IF(Q313&lt;30%,0,IF(Q313&lt;35%,N313*O313*P313*F!$B$33,IF(Q313&lt;40%,N313*O313*P313*F!$B$38,IF(Q313&lt;45%,N313*O313*P313*F!$B$43,IF(Q313&lt;50%,N313*O313*P313*F!$B$48,IF(Q313=50%,N313*O313*P313*F!$B$50,IF(Q313=51%,N313*O313*P313*F!$B$51,IF(Q313=52%,N313*O313*P313*F!$B$52,IF(Q313=53%,N313*O313*P313*F!$B$53,IF(Q313=54%,N313*O313*P313*F!$B$54,IF(Q313=55%,N313*O313*P313*F!$B$55,IF(Q313=56%,N313*O313*P313*F!$B$56,IF(Q313=57%,N313*O313*P313*F!$B$57,IF(Q313=58%,N313*O313*P313*F!$B$58,IF(Q313=59%,N313*O313*P313*F!$B$59,IF(Q313=60%,N313*O313*P313*F!$B$60,IF(Q313=61%,N313*O313*P313*F!$B$61,IF(Q313=62%,N313*O313*P313*F!$B$62,IF(Q313=63%,N313*O313*P313*F!$B$63,IF(Q313=64%,N313*O313*P313*F!$B$64,IF(Q313=65%,N313*O313*P313*F!$B$65,IF(Q313=66%,N313*O313*P313*F!$B$66,IF(Q313=67%,N313*O313*P313*F!$B$67,IF(Q313=68%,N313*O313*P313*F!$B$68,IF(Q313=69%,N313*O313*P313*F!$B$69,IF(Q313=70%,N313*O313*P313*F!$B$70,IF(Q313=71%,N313*O313*P313*F!$B$71,IF(Q313=72%,N313*O313*P313*F!$B$72,IF(Q313=73%,N313*O313*P313*F!$B$73,IF(Q313=74%,N313*O313*P313*F!$B$74,IF(Q313=75%,N313*O313*P313*F!$B$75,IF(Q313=76%,N313*O313*P313*F!$B$76,IF(Q313=77%,N313*O313*P313*F!$B$77,IF(Q313=78%,N313*O313*P313*F!$B$78,IF(Q313=79%,N313*O313*P313*F!$B$79,IF(Q313=80%,N313*O313*P313*F!$B$80,IF(Q313=81%,N313*O313*P313*F!$B$81,IF(Q313=82%,N313*O313*P313*F!$B$82,IF(Q313=83%,N313*O313*P313*F!$B$83,IF(Q313=84%,N313*O313*P313*F!$B$84,IF(Q313=85%,N313*O313*P313*F!$B$85,IF(Q313=86%,N313*O313*P313*F!$B$86,IF(Q313=87%,N313*O313*P313*F!$B$87,IF(Q313=88%,N313*O313*P313*F!$B$88,IF(Q313=89%,N313*O313*P313*F!$B$89,IF(Q313=90%,N313*O313*P313*F!$B$90,IF(Q313=91%,N313*O313*P313*F!$B$91,IF(Q313=92%,N313*O313*P313*F!$B$92,IF(Q313=93%,N313*O313*P313*F!$B$93,IF(Q313=94%,N313*O313*P313*F!$B$94,IF(Q313=95%,N313*O313*P313*F!$B$95,IF(Q313=96%,N313*O313*P313*F!$B$96,IF(Q313=97%,N313*O313*P313*F!$B$97,IF(Q313=98%,N313*O313*P313*F!$B$98,IF(Q313=99%,N313*O313*P313*F!$B$99,IF(Q313&gt;99%,N313*O313*P313*F!$B$100,))))))))))))))))))))))))))))))))))))))))))))))))))))))))+IF(U313&lt;30%,0,IF(U313&lt;35%,R313*S313*T313*F!$B$33,IF(U313&lt;40%,R313*S313*T313*F!$B$38,IF(U313&lt;45%,R313*S313*T313*F!$B$43,IF(U313&lt;50%,R313*S313*T313*F!$B$48,IF(U313=50%,R313*S313*T313*F!$B$50,IF(U313=51%,R313*S313*T313*F!$B$51,IF(U313=52%,R313*S313*T313*F!$B$52,IF(U313=53%,R313*S313*T313*F!$B$53,IF(U313=54%,R313*S313*T313*F!$B$54,IF(U313=55%,R313*S313*T313*F!$B$55,IF(U313=56%,R313*S313*T313*F!$B$56,IF(U313=57%,R313*S313*T313*F!$B$57,IF(U313=58%,R313*S313*T313*F!$B$58,IF(U313=59%,R313*S313*T313*F!$B$59,IF(U313=60%,R313*S313*T313*F!$B$60,IF(U313=61%,R313*S313*T313*F!$B$61,IF(U313=62%,R313*S313*T313*F!$B$62,IF(U313=63%,R313*S313*T313*F!$B$63,IF(U313=64%,R313*S313*T313*F!$B$64,IF(U313=65%,R313*S313*T313*F!$B$65,IF(U313=66%,R313*S313*T313*F!$B$66,IF(U313=67%,R313*S313*T313*F!$B$67,IF(U313=68%,R313*S313*T313*F!$B$68,IF(U313=69%,R313*S313*T313*F!$B$69,IF(U313=70%,R313*S313*T313*F!$B$70,IF(U313=71%,R313*S313*T313*F!$B$71,IF(U313=72%,R313*S313*T313*F!$B$72,IF(U313=73%,R313*S313*T313*F!$B$73,IF(U313=74%,R313*S313*T313*F!$B$74,IF(U313=75%,R313*S313*T313*F!$B$75,IF(U313=76%,R313*S313*T313*F!$B$76,IF(U313=77%,R313*S313*T313*F!$B$77,IF(U313=78%,R313*S313*T313*F!$B$78,IF(U313=79%,R313*S313*T313*F!$B$79,IF(U313=80%,R313*S313*T313*F!$B$80,IF(U313=81%,R313*S313*T313*F!$B$81,IF(U313=82%,R313*S313*T313*F!$B$82,IF(U313=83%,R313*S313*T313*F!$B$83,IF(U313=84%,R313*S313*T313*F!$B$84,IF(U313=85%,R313*S313*T313*F!$B$85,IF(U313=86%,R313*S313*T313*F!$B$86,IF(U313=87%,R313*S313*T313*F!$B$87,IF(U313=88%,R313*S313*T313*F!$B$88,IF(U313=89%,R313*S313*T313*F!$B$89,IF(U313=90%,R313*S313*T313*F!$B$90,IF(U313=91%,R313*S313*T313*F!$B$91,IF(U313=92%,R313*S313*T313*F!$B$92,IF(U313=93%,R313*S313*T313*F!$B$93,IF(U313=94%,R313*S313*T313*F!$B$94,IF(U313=95%,R313*S313*T313*F!$B$95,IF(U313=96%,R313*S313*T313*F!$B$96,IF(U313=97%,R313*S313*T313*F!$B$97,IF(U313=98%,R313*S313*T313*F!$B$98,IF(U313=99%,R313*S313*T313*F!$B$99,IF(U313&gt;99%,R313*S313*T313*F!$B$100)))))))))))))))))))))))))))))))))))))))))))))))))))))))))*IF(ISNUMBER(E313),E313,1)*IF(ISNUMBER(D313),D313,1)</f>
        <v>#REF!</v>
      </c>
      <c r="AA313" s="32">
        <f t="shared" ref="AA313:AA318" si="791">G313*H313+K313*L313+O313*P313+S313*T313</f>
        <v>62</v>
      </c>
      <c r="AB313" s="38">
        <f t="shared" ref="AB313:AB318" si="792">(H313*(IF(I313&lt;45%,0.5,IF(I313&lt;55%,0.8,IF(I313&lt;65%,0.9,IF(I313&lt;75%,1,IF(I313&lt;85%,1.1,1.2))))))+L313*(IF(M313&lt;45%,0.5,IF(M313&lt;55%,0.8,IF(M313&lt;65%,0.9,IF(M313&lt;75%,1,IF(M313&lt;85%,1.1,1.2))))))+P313*(IF(Q313&lt;45%,0.5,IF(Q313&lt;55%,0.8,IF(Q313&lt;65%,0.9,IF(Q313&lt;75%,1,IF(Q313&lt;85%,1.1,1.2))))))+T313*(IF(U313&lt;45%,0.5,IF(U313&lt;55%,0.8,IF(U313&lt;65%,0.9,IF(U313&lt;75%,1,IF(U313&lt;85%,1.1,1.2)))))))*IF(D313&gt;=0.8,6,IF(D313&lt;=0.4,1.5,3))</f>
        <v>27</v>
      </c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 ht="15.0" customHeight="1">
      <c r="A314" s="43">
        <f>A307+2</f>
        <v>42391</v>
      </c>
      <c r="B314" s="131" t="str">
        <f t="shared" ref="B314:C314" si="780">IF(B277="","",B277)</f>
        <v>Легкая</v>
      </c>
      <c r="C314" s="177" t="str">
        <f t="shared" si="780"/>
        <v>Зашагивания на платформу</v>
      </c>
      <c r="D314" s="46">
        <f t="shared" si="781"/>
        <v>1</v>
      </c>
      <c r="E314" s="133" t="str">
        <f t="shared" si="744"/>
        <v/>
      </c>
      <c r="F314" s="48">
        <f t="shared" si="782"/>
        <v>0</v>
      </c>
      <c r="G314" s="49">
        <v>12.0</v>
      </c>
      <c r="H314" s="49">
        <v>5.0</v>
      </c>
      <c r="I314" s="50">
        <v>0.4</v>
      </c>
      <c r="J314" s="48" t="str">
        <f t="shared" si="783"/>
        <v/>
      </c>
      <c r="K314" s="49"/>
      <c r="L314" s="49"/>
      <c r="M314" s="50">
        <v>0.0</v>
      </c>
      <c r="N314" s="48" t="str">
        <f t="shared" si="784"/>
        <v/>
      </c>
      <c r="O314" s="49"/>
      <c r="P314" s="49"/>
      <c r="Q314" s="50">
        <v>0.0</v>
      </c>
      <c r="R314" s="48" t="str">
        <f t="shared" si="785"/>
        <v/>
      </c>
      <c r="S314" s="49"/>
      <c r="T314" s="49"/>
      <c r="U314" s="50">
        <v>0.0</v>
      </c>
      <c r="V314" s="134">
        <f t="shared" si="786"/>
        <v>0</v>
      </c>
      <c r="W314" s="53">
        <f t="shared" si="787"/>
        <v>0</v>
      </c>
      <c r="X314" s="54">
        <f t="shared" si="788"/>
        <v>0</v>
      </c>
      <c r="Y314" s="137">
        <f t="shared" si="789"/>
        <v>0</v>
      </c>
      <c r="Z314" s="53" t="str">
        <f t="shared" si="790"/>
        <v>#REF!</v>
      </c>
      <c r="AA314" s="49">
        <f t="shared" si="791"/>
        <v>60</v>
      </c>
      <c r="AB314" s="56">
        <f t="shared" si="792"/>
        <v>15</v>
      </c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 ht="15.75" customHeight="1">
      <c r="A315" s="57"/>
      <c r="B315" s="135" t="s">
        <v>20</v>
      </c>
      <c r="C315" s="177" t="str">
        <f t="shared" ref="C315:C318" si="793">IF(C278="","",C278)</f>
        <v>Разведение ног</v>
      </c>
      <c r="D315" s="46">
        <f t="shared" si="781"/>
        <v>0.5</v>
      </c>
      <c r="E315" s="133">
        <f t="shared" si="744"/>
        <v>5</v>
      </c>
      <c r="F315" s="59">
        <f t="shared" si="782"/>
        <v>4.3</v>
      </c>
      <c r="G315" s="60">
        <v>10.0</v>
      </c>
      <c r="H315" s="60">
        <v>4.0</v>
      </c>
      <c r="I315" s="61">
        <v>0.4</v>
      </c>
      <c r="J315" s="59" t="str">
        <f t="shared" si="783"/>
        <v/>
      </c>
      <c r="K315" s="60"/>
      <c r="L315" s="60"/>
      <c r="M315" s="61">
        <v>0.0</v>
      </c>
      <c r="N315" s="59" t="str">
        <f t="shared" si="784"/>
        <v/>
      </c>
      <c r="O315" s="60"/>
      <c r="P315" s="60"/>
      <c r="Q315" s="61">
        <v>0.0</v>
      </c>
      <c r="R315" s="59" t="str">
        <f t="shared" si="785"/>
        <v/>
      </c>
      <c r="S315" s="60"/>
      <c r="T315" s="60"/>
      <c r="U315" s="61">
        <v>0.0</v>
      </c>
      <c r="V315" s="104">
        <f t="shared" si="786"/>
        <v>860</v>
      </c>
      <c r="W315" s="64">
        <f t="shared" si="787"/>
        <v>21.5</v>
      </c>
      <c r="X315" s="65">
        <f t="shared" si="788"/>
        <v>0.4</v>
      </c>
      <c r="Y315" s="137">
        <f t="shared" si="789"/>
        <v>10.82856706</v>
      </c>
      <c r="Z315" s="64" t="str">
        <f t="shared" si="790"/>
        <v>#REF!</v>
      </c>
      <c r="AA315" s="60">
        <f t="shared" si="791"/>
        <v>40</v>
      </c>
      <c r="AB315" s="66">
        <f t="shared" si="792"/>
        <v>6</v>
      </c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 ht="15.75" customHeight="1">
      <c r="A316" s="57"/>
      <c r="B316" s="135" t="s">
        <v>23</v>
      </c>
      <c r="C316" s="177" t="str">
        <f t="shared" si="793"/>
        <v>Жим гантелй лежа</v>
      </c>
      <c r="D316" s="46">
        <f t="shared" si="781"/>
        <v>0.4</v>
      </c>
      <c r="E316" s="133">
        <f t="shared" si="744"/>
        <v>2</v>
      </c>
      <c r="F316" s="48">
        <f t="shared" si="782"/>
        <v>6.5</v>
      </c>
      <c r="G316" s="49">
        <v>12.0</v>
      </c>
      <c r="H316" s="49">
        <v>2.0</v>
      </c>
      <c r="I316" s="50">
        <v>0.5</v>
      </c>
      <c r="J316" s="48">
        <f t="shared" si="783"/>
        <v>7.8</v>
      </c>
      <c r="K316" s="49">
        <v>15.0</v>
      </c>
      <c r="L316" s="49">
        <v>1.0</v>
      </c>
      <c r="M316" s="50">
        <v>0.6</v>
      </c>
      <c r="N316" s="48">
        <f t="shared" si="784"/>
        <v>9.1</v>
      </c>
      <c r="O316" s="49">
        <v>20.0</v>
      </c>
      <c r="P316" s="49">
        <v>1.0</v>
      </c>
      <c r="Q316" s="50">
        <v>0.7</v>
      </c>
      <c r="R316" s="48" t="str">
        <f t="shared" si="785"/>
        <v/>
      </c>
      <c r="S316" s="49"/>
      <c r="T316" s="49"/>
      <c r="U316" s="50">
        <v>0.0</v>
      </c>
      <c r="V316" s="134">
        <f t="shared" si="786"/>
        <v>910</v>
      </c>
      <c r="W316" s="53">
        <f t="shared" si="787"/>
        <v>15.42372881</v>
      </c>
      <c r="X316" s="54">
        <f t="shared" si="788"/>
        <v>0.59</v>
      </c>
      <c r="Y316" s="137">
        <f t="shared" si="789"/>
        <v>12.99428047</v>
      </c>
      <c r="Z316" s="53" t="str">
        <f t="shared" si="790"/>
        <v>#REF!</v>
      </c>
      <c r="AA316" s="49">
        <f t="shared" si="791"/>
        <v>59</v>
      </c>
      <c r="AB316" s="56">
        <f t="shared" si="792"/>
        <v>5.25</v>
      </c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 ht="15.75" customHeight="1">
      <c r="A317" s="57"/>
      <c r="B317" s="135" t="s">
        <v>23</v>
      </c>
      <c r="C317" s="177" t="str">
        <f t="shared" si="793"/>
        <v>Ходьба выпадами</v>
      </c>
      <c r="D317" s="46">
        <f t="shared" si="781"/>
        <v>0.4</v>
      </c>
      <c r="E317" s="133">
        <f t="shared" si="744"/>
        <v>2</v>
      </c>
      <c r="F317" s="59">
        <f t="shared" si="782"/>
        <v>9</v>
      </c>
      <c r="G317" s="60">
        <v>12.0</v>
      </c>
      <c r="H317" s="60">
        <v>1.0</v>
      </c>
      <c r="I317" s="61">
        <v>0.55</v>
      </c>
      <c r="J317" s="59">
        <f t="shared" si="783"/>
        <v>11</v>
      </c>
      <c r="K317" s="60">
        <v>8.0</v>
      </c>
      <c r="L317" s="60">
        <v>5.0</v>
      </c>
      <c r="M317" s="61">
        <v>0.65</v>
      </c>
      <c r="N317" s="59" t="str">
        <f t="shared" si="784"/>
        <v/>
      </c>
      <c r="O317" s="60"/>
      <c r="P317" s="60"/>
      <c r="Q317" s="61">
        <v>0.0</v>
      </c>
      <c r="R317" s="59" t="str">
        <f t="shared" si="785"/>
        <v/>
      </c>
      <c r="S317" s="60"/>
      <c r="T317" s="60"/>
      <c r="U317" s="61">
        <v>0.0</v>
      </c>
      <c r="V317" s="104">
        <f t="shared" si="786"/>
        <v>1096</v>
      </c>
      <c r="W317" s="64">
        <f t="shared" si="787"/>
        <v>21.07692308</v>
      </c>
      <c r="X317" s="62">
        <f t="shared" si="788"/>
        <v>0.65</v>
      </c>
      <c r="Y317" s="137">
        <f t="shared" si="789"/>
        <v>16.24285058</v>
      </c>
      <c r="Z317" s="64" t="str">
        <f t="shared" si="790"/>
        <v>#REF!</v>
      </c>
      <c r="AA317" s="60">
        <f t="shared" si="791"/>
        <v>52</v>
      </c>
      <c r="AB317" s="66">
        <f t="shared" si="792"/>
        <v>8.85</v>
      </c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 ht="15.75" customHeight="1">
      <c r="A318" s="57"/>
      <c r="B318" s="135" t="s">
        <v>20</v>
      </c>
      <c r="C318" s="177" t="str">
        <f t="shared" si="793"/>
        <v>Гиперэкстензия на ягодицы</v>
      </c>
      <c r="D318" s="46">
        <f t="shared" si="781"/>
        <v>0.4</v>
      </c>
      <c r="E318" s="133" t="str">
        <f t="shared" si="744"/>
        <v/>
      </c>
      <c r="F318" s="48">
        <f t="shared" si="782"/>
        <v>13</v>
      </c>
      <c r="G318" s="49">
        <v>12.0</v>
      </c>
      <c r="H318" s="49">
        <v>3.0</v>
      </c>
      <c r="I318" s="50">
        <v>0.39</v>
      </c>
      <c r="J318" s="48" t="str">
        <f t="shared" si="783"/>
        <v/>
      </c>
      <c r="K318" s="49"/>
      <c r="L318" s="49"/>
      <c r="M318" s="50">
        <v>0.0</v>
      </c>
      <c r="N318" s="48" t="str">
        <f t="shared" si="784"/>
        <v/>
      </c>
      <c r="O318" s="49"/>
      <c r="P318" s="49"/>
      <c r="Q318" s="50">
        <v>0.0</v>
      </c>
      <c r="R318" s="48" t="str">
        <f t="shared" si="785"/>
        <v/>
      </c>
      <c r="S318" s="49"/>
      <c r="T318" s="49"/>
      <c r="U318" s="50">
        <v>0.0</v>
      </c>
      <c r="V318" s="134">
        <f t="shared" si="786"/>
        <v>468</v>
      </c>
      <c r="W318" s="53">
        <f t="shared" si="787"/>
        <v>13</v>
      </c>
      <c r="X318" s="54">
        <f t="shared" si="788"/>
        <v>0.4</v>
      </c>
      <c r="Y318" s="137">
        <f t="shared" si="789"/>
        <v>32.48570117</v>
      </c>
      <c r="Z318" s="53" t="str">
        <f t="shared" si="790"/>
        <v>#REF!</v>
      </c>
      <c r="AA318" s="49">
        <f t="shared" si="791"/>
        <v>36</v>
      </c>
      <c r="AB318" s="56">
        <f t="shared" si="792"/>
        <v>2.25</v>
      </c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 ht="15.75" customHeight="1">
      <c r="A319" s="72"/>
      <c r="B319" s="138" t="str">
        <f t="shared" ref="B319:C319" si="794">IF(B282="","",B282)</f>
        <v/>
      </c>
      <c r="C319" s="178" t="str">
        <f t="shared" si="794"/>
        <v>Скручивания (пресс)</v>
      </c>
      <c r="D319" s="75">
        <f>ROUND(IFERROR((D313*(G313*H313+K313*L313+O313*P313+S313*T313)+D314*(G314*H314+K314*L314+O314*P314+S314*T314)+D315*(G315*H315+K315*L315+O315*P315+S315*T315)+D316*(G316*H316+K316*L316+O316*P316+S316*T316)+D317*(G317*H317+K317*L317+O317*P317+S317*T317)+D318*(G318*H318+K318*L318+O318*P318+S318*T318))/((G313*H313+K313*L313+O313*P313+S313*T313)+(G314*H314+K314*L314+O314*P314+S314*T314)+(G315*H315+K315*L315+O315*P315+S315*T315)+(G316*H316+K316*L316+O316*P316+S316*T316)+(G317*H317+K317*L317+O317*P317+S317*T317)+(G318*H318+K318*L318+O318*P318+S318*T318)),0),2)</f>
        <v>0.71</v>
      </c>
      <c r="E319" s="140" t="str">
        <f t="shared" si="744"/>
        <v/>
      </c>
      <c r="F319" s="77"/>
      <c r="G319" s="78"/>
      <c r="H319" s="78"/>
      <c r="I319" s="79"/>
      <c r="J319" s="77"/>
      <c r="K319" s="78"/>
      <c r="L319" s="78"/>
      <c r="M319" s="79"/>
      <c r="N319" s="77"/>
      <c r="O319" s="78"/>
      <c r="P319" s="78"/>
      <c r="Q319" s="79"/>
      <c r="R319" s="77"/>
      <c r="S319" s="78"/>
      <c r="T319" s="78"/>
      <c r="U319" s="79"/>
      <c r="V319" s="125">
        <f>SUM(V313:V318)</f>
        <v>6719</v>
      </c>
      <c r="W319" s="82">
        <f>IFERROR(V319/AA319,0)</f>
        <v>21.74433657</v>
      </c>
      <c r="X319" s="83">
        <f>ROUND(IFERROR(((I313*G313*H313+M313*K313*L313+Q313*O313*P313+U313*S313*T313)+(I314*G314*H314+M314*K314*L314+Q314*O314*P314+U314*S314*T314)+(I315*G315*H315+M315*K315*L315+Q315*O315*P315+U315*S315*T315)+(I316*G316*H316+M316*K316*L316+Q316*O316*P316+U316*S316*T316)+(I317*G317*H317+M317*K317*L317+Q317*O317*P317+U317*S317*T317)+(I318*G318*H318+M318*K318*L318+Q318*O318*P318+U318*S318*T318))/((G313*H313+K313*L313+O313*P313+S313*T313)+(G314*H314+K314*L314+O314*P314+S314*T314)+(G315*H315+K315*L315+O315*P315+S315*T315)+(G316*H316+K316*L316+O316*P316+S316*T316)+(G317*H317+K317*L317+O317*P317+S317*T317)+(G318*H318+K318*L318+O318*P318+S318*T318)),0),3)</f>
        <v>0.493</v>
      </c>
      <c r="Y319" s="84"/>
      <c r="Z319" s="82" t="str">
        <f t="shared" ref="Z319:AA319" si="795">SUM(Z313:Z318)</f>
        <v>#REF!</v>
      </c>
      <c r="AA319" s="85">
        <f t="shared" si="795"/>
        <v>309</v>
      </c>
      <c r="AB319" s="86">
        <f>IF(SUM(AB313:AB318)=0,TIME(,0,),TIME(,SUM(AB313:AB318)+30,))</f>
        <v>0.06527777778</v>
      </c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 ht="15.75" hidden="1" customHeight="1">
      <c r="A320" s="88" t="s">
        <v>44</v>
      </c>
      <c r="B320" s="89" t="str">
        <f t="shared" ref="B320:C320" si="796">IF(B283="","",B283)</f>
        <v/>
      </c>
      <c r="C320" s="141" t="str">
        <f t="shared" si="796"/>
        <v/>
      </c>
      <c r="D320" s="29" t="str">
        <f t="shared" ref="D320:D325" si="798">D283</f>
        <v/>
      </c>
      <c r="E320" s="91" t="str">
        <f t="shared" si="744"/>
        <v/>
      </c>
      <c r="F320" s="92"/>
      <c r="G320" s="93"/>
      <c r="H320" s="93"/>
      <c r="I320" s="94" t="str">
        <f t="shared" ref="I320:I325" si="799">IFERROR(ROUND(F320/$Y320,2),)</f>
        <v/>
      </c>
      <c r="J320" s="92"/>
      <c r="K320" s="93"/>
      <c r="L320" s="93"/>
      <c r="M320" s="94" t="str">
        <f t="shared" ref="M320:M325" si="800">IFERROR(ROUND(J320/$Y320,2),)</f>
        <v/>
      </c>
      <c r="N320" s="92"/>
      <c r="O320" s="93"/>
      <c r="P320" s="93"/>
      <c r="Q320" s="94" t="str">
        <f t="shared" ref="Q320:Q325" si="801">IFERROR(ROUND(N320/$Y320,2),)</f>
        <v/>
      </c>
      <c r="R320" s="92"/>
      <c r="S320" s="93"/>
      <c r="T320" s="93"/>
      <c r="U320" s="94" t="str">
        <f t="shared" ref="U320:U325" si="802">IFERROR(ROUND(R320/$Y320,2),)</f>
        <v/>
      </c>
      <c r="V320" s="95">
        <f t="shared" ref="V320:V325" si="803">(IF(ISNUMBER(F320),F320,1)*G320*H320+IF(ISNUMBER(J320),J320,1)*K320*L320+IF(ISNUMBER(N320),N320,1)*O320*P320+IF(ISNUMBER(R320),R320,1)*S320*T320)*IF(ISNUMBER(E320),E320,1)</f>
        <v>0</v>
      </c>
      <c r="W320" s="96">
        <f t="shared" ref="W320:W325" si="804">IFERROR((IF(ISNUMBER(F320),F320,1)*G320*H320+IF(ISNUMBER(J320),J320,1)*K320*L320+IF(ISNUMBER(N320),N320,1)*O320*P320+IF(ISNUMBER(R320),R320,1)*S320*T320)*IF(ISNUMBER(E320),E320,1)/(G320*H320+K320*L320+O320*P320+S320*T320),0)</f>
        <v>0</v>
      </c>
      <c r="X320" s="97">
        <f t="shared" ref="X320:X325" si="805">ROUND(IFERROR((W320/(Y320*IF(ISNUMBER(E320),E320,1))),0),2)</f>
        <v>0</v>
      </c>
      <c r="Y320" s="37" t="str">
        <f t="shared" ref="Y320:Y325" si="806">IF(ISNUMBER(Y283), Y283+(Y283*$Y$297),"")</f>
        <v/>
      </c>
      <c r="Z320" s="96">
        <f t="shared" ref="Z320:Z325" si="807">(IF(I320&lt;30%,0,IF(I320&lt;35%,F320*G320*H320*F!$B$33,IF(I320&lt;40%,F320*G320*H320*F!$B$38,IF(I320&lt;45%,F320*G320*H320*F!$B$43,IF(I320&lt;50%,F320*G320*H320*F!$B$48,IF(I320=50%,F320*G320*H320*F!$B$50,IF(I320=51%,F320*G320*H320*F!$B$51,IF(I320=52%,F320*G320*H320*F!$B$52,IF(I320=53%,F320*G320*H320*F!$B$53,IF(I320=54%,F320*G320*H320*F!$B$54,IF(I320=55%,F320*G320*H320*F!$B$55,IF(I320=56%,F320*G320*H320*F!$B$56,IF(I320=57%,F320*G320*H320*F!$B$57,IF(I320=58%,F320*G320*H320*F!$B$58,IF(I320=59%,F320*G320*H320*F!$B$59,IF(I320=60%,F320*G320*H320*F!$B$60,IF(I320=61%,F320*G320*H320*F!$B$61,IF(I320=62%,F320*G320*H320*F!$B$62,IF(I320=63%,F320*G320*H320*F!$B$63,IF(I320=64%,F320*G320*H320*F!$B$64,IF(I320=65%,F320*G320*H320*F!$B$65,IF(I320=66%,F320*G320*H320*F!$B$66,IF(I320=67%,F320*G320*H320*F!$B$67,IF(I320=68%,F320*G320*H320*F!$B$68,IF(I320=69%,F320*G320*H320*F!$B$69,IF(I320=70%,F320*G320*H320*F!$B$70,IF(I320=71%,F320*G320*H320*F!$B$71,IF(I320=72%,F320*G320*H320*F!$B$72,IF(I320=73%,F320*G320*H320*F!$B$73,IF(I320=74%,F320*G320*H320*F!$B$74,IF(I320=75%,F320*G320*H320*F!$B$75,IF(I320=76%,F320*G320*H320*F!$B$76,IF(I320=77%,F320*G320*H320*F!$B$77,IF(I320=78%,F320*G320*H320*F!$B$78,IF(I320=79%,F320*G320*H320*F!$B$79,IF(I320=80%,F320*G320*H320*F!$B$80,IF(I320=81%,F320*G320*H320*F!$B$81,IF(I320=82%,F320*G320*H320*F!$B$82,IF(I320=83%,F320*G320*H320*F!$B$83,IF(I320=84%,F320*G320*H320*F!$B$84,IF(I320=85%,F320*G320*H320*F!$B$85,IF(I320=86%,F320*G320*H320*F!$B$86,IF(I320=87%,F320*G320*H320*F!$B$87,IF(I320=88%,F320*G320*H320*F!$B$88,IF(I320=89%,F320*G320*H320*F!$B$89,IF(I320=90%,F320*G320*H320*F!$B$90,IF(I320=91%,F320*G320*H320*F!$B$91,IF(I320=92%,F320*G320*H320*F!$B$92,IF(I320=93%,F320*G320*H320*F!$B$93,IF(I320=94%,F320*G320*H320*F!$B$94,IF(I320=95%,F320*G320*H320*F!$B$95,IF(I320=96%,F320*G320*H320*F!$B$96,IF(I320=97%,F320*G320*H320*F!$B$97,IF(I320=98%,F320*G320*H320*F!$B$98,IF(I320=99%,F320*G320*H320*F!$B$99,IF(I320&gt;99%,F320*G320*H320*F!$B$100,))))))))))))))))))))))))))))))))))))))))))))))))))))))))+IF(M320&lt;30%,0,IF(M320&lt;35%,J320*K320*L320*F!$B$33,IF(M320&lt;40%,J320*K320*L320*F!$B$38,IF(M320&lt;45%,J320*K320*L320*F!$B$43,IF(M320&lt;50%,J320*K320*L320*F!$B$48,IF(M320=50%,J320*K320*L320*F!$B$50,IF(M320=51%,J320*K320*L320*F!$B$51,IF(M320=52%,J320*K320*L320*F!$B$52,IF(M320=53%,J320*K320*L320*F!$B$53,IF(M320=54%,J320*K320*L320*F!$B$54,IF(M320=55%,J320*K320*L320*F!$B$55,IF(M320=56%,J320*K320*L320*F!$B$56,IF(M320=57%,J320*K320*L320*F!$B$57,IF(M320=58%,J320*K320*L320*F!$B$58,IF(M320=59%,J320*K320*L320*F!$B$59,IF(M320=60%,J320*K320*L320*F!$B$60,IF(M320=61%,J320*K320*L320*F!$B$61,IF(M320=62%,J320*K320*L320*F!$B$62,IF(M320=63%,J320*K320*L320*F!$B$63,IF(M320=64%,J320*K320*L320*F!$B$64,IF(M320=65%,J320*K320*L320*F!$B$65,IF(M320=66%,J320*K320*L320*F!$B$66,IF(M320=67%,J320*K320*L320*F!$B$67,IF(M320=68%,J320*K320*L320*F!$B$68,IF(M320=69%,J320*K320*L320*F!$B$69,IF(M320=70%,J320*K320*L320*F!$B$70,IF(M320=71%,J320*K320*L320*F!$B$71,IF(M320=72%,J320*K320*L320*F!$B$72,IF(M320=73%,J320*K320*L320*F!$B$73,IF(M320=74%,J320*K320*L320*F!$B$74,IF(M320=75%,J320*K320*L320*F!$B$75,IF(M320=76%,J320*K320*L320*F!$B$76,IF(M320=77%,J320*K320*L320*F!$B$77,IF(M320=78%,J320*K320*L320*F!$B$78,IF(M320=79%,J320*K320*L320*F!$B$79,IF(M320=80%,J320*K320*L320*F!$B$80,IF(M320=81%,J320*K320*L320*F!$B$81,IF(M320=82%,J320*K320*L320*F!$B$82,IF(M320=83%,J320*K320*L320*F!$B$83,IF(M320=84%,J320*K320*L320*F!$B$84,IF(M320=85%,J320*K320*L320*F!$B$85,IF(M320=86%,J320*K320*L320*F!$B$86,IF(M320=87%,J320*K320*L320*F!$B$87,IF(M320=88%,J320*K320*L320*F!$B$88,IF(M320=89%,J320*K320*L320*F!$B$89,IF(M320=90%,J320*K320*L320*F!$B$90,IF(M320=91%,J320*K320*L320*F!$B$91,IF(M320=92%,J320*K320*L320*F!$B$92,IF(M320=93%,J320*K320*L320*F!$B$93,IF(M320=94%,J320*K320*L320*F!$B$94,IF(M320=95%,J320*K320*L320*F!$B$95,IF(M320=96%,J320*K320*L320*F!$B$96,IF(M320=97%,J320*K320*L320*F!$B$97,IF(M320=98%,J320*K320*L320*F!$B$98,IF(M320=99%,J320*K320*L320*F!$B$99,IF(M320&gt;99%,J320*K320*L320*F!$B$100,))))))))))))))))))))))))))))))))))))))))))))))))))))))))+IF(Q320&lt;30%,0,IF(Q320&lt;35%,N320*O320*P320*F!$B$33,IF(Q320&lt;40%,N320*O320*P320*F!$B$38,IF(Q320&lt;45%,N320*O320*P320*F!$B$43,IF(Q320&lt;50%,N320*O320*P320*F!$B$48,IF(Q320=50%,N320*O320*P320*F!$B$50,IF(Q320=51%,N320*O320*P320*F!$B$51,IF(Q320=52%,N320*O320*P320*F!$B$52,IF(Q320=53%,N320*O320*P320*F!$B$53,IF(Q320=54%,N320*O320*P320*F!$B$54,IF(Q320=55%,N320*O320*P320*F!$B$55,IF(Q320=56%,N320*O320*P320*F!$B$56,IF(Q320=57%,N320*O320*P320*F!$B$57,IF(Q320=58%,N320*O320*P320*F!$B$58,IF(Q320=59%,N320*O320*P320*F!$B$59,IF(Q320=60%,N320*O320*P320*F!$B$60,IF(Q320=61%,N320*O320*P320*F!$B$61,IF(Q320=62%,N320*O320*P320*F!$B$62,IF(Q320=63%,N320*O320*P320*F!$B$63,IF(Q320=64%,N320*O320*P320*F!$B$64,IF(Q320=65%,N320*O320*P320*F!$B$65,IF(Q320=66%,N320*O320*P320*F!$B$66,IF(Q320=67%,N320*O320*P320*F!$B$67,IF(Q320=68%,N320*O320*P320*F!$B$68,IF(Q320=69%,N320*O320*P320*F!$B$69,IF(Q320=70%,N320*O320*P320*F!$B$70,IF(Q320=71%,N320*O320*P320*F!$B$71,IF(Q320=72%,N320*O320*P320*F!$B$72,IF(Q320=73%,N320*O320*P320*F!$B$73,IF(Q320=74%,N320*O320*P320*F!$B$74,IF(Q320=75%,N320*O320*P320*F!$B$75,IF(Q320=76%,N320*O320*P320*F!$B$76,IF(Q320=77%,N320*O320*P320*F!$B$77,IF(Q320=78%,N320*O320*P320*F!$B$78,IF(Q320=79%,N320*O320*P320*F!$B$79,IF(Q320=80%,N320*O320*P320*F!$B$80,IF(Q320=81%,N320*O320*P320*F!$B$81,IF(Q320=82%,N320*O320*P320*F!$B$82,IF(Q320=83%,N320*O320*P320*F!$B$83,IF(Q320=84%,N320*O320*P320*F!$B$84,IF(Q320=85%,N320*O320*P320*F!$B$85,IF(Q320=86%,N320*O320*P320*F!$B$86,IF(Q320=87%,N320*O320*P320*F!$B$87,IF(Q320=88%,N320*O320*P320*F!$B$88,IF(Q320=89%,N320*O320*P320*F!$B$89,IF(Q320=90%,N320*O320*P320*F!$B$90,IF(Q320=91%,N320*O320*P320*F!$B$91,IF(Q320=92%,N320*O320*P320*F!$B$92,IF(Q320=93%,N320*O320*P320*F!$B$93,IF(Q320=94%,N320*O320*P320*F!$B$94,IF(Q320=95%,N320*O320*P320*F!$B$95,IF(Q320=96%,N320*O320*P320*F!$B$96,IF(Q320=97%,N320*O320*P320*F!$B$97,IF(Q320=98%,N320*O320*P320*F!$B$98,IF(Q320=99%,N320*O320*P320*F!$B$99,IF(Q320&gt;99%,N320*O320*P320*F!$B$100,))))))))))))))))))))))))))))))))))))))))))))))))))))))))+IF(U320&lt;30%,0,IF(U320&lt;35%,R320*S320*T320*F!$B$33,IF(U320&lt;40%,R320*S320*T320*F!$B$38,IF(U320&lt;45%,R320*S320*T320*F!$B$43,IF(U320&lt;50%,R320*S320*T320*F!$B$48,IF(U320=50%,R320*S320*T320*F!$B$50,IF(U320=51%,R320*S320*T320*F!$B$51,IF(U320=52%,R320*S320*T320*F!$B$52,IF(U320=53%,R320*S320*T320*F!$B$53,IF(U320=54%,R320*S320*T320*F!$B$54,IF(U320=55%,R320*S320*T320*F!$B$55,IF(U320=56%,R320*S320*T320*F!$B$56,IF(U320=57%,R320*S320*T320*F!$B$57,IF(U320=58%,R320*S320*T320*F!$B$58,IF(U320=59%,R320*S320*T320*F!$B$59,IF(U320=60%,R320*S320*T320*F!$B$60,IF(U320=61%,R320*S320*T320*F!$B$61,IF(U320=62%,R320*S320*T320*F!$B$62,IF(U320=63%,R320*S320*T320*F!$B$63,IF(U320=64%,R320*S320*T320*F!$B$64,IF(U320=65%,R320*S320*T320*F!$B$65,IF(U320=66%,R320*S320*T320*F!$B$66,IF(U320=67%,R320*S320*T320*F!$B$67,IF(U320=68%,R320*S320*T320*F!$B$68,IF(U320=69%,R320*S320*T320*F!$B$69,IF(U320=70%,R320*S320*T320*F!$B$70,IF(U320=71%,R320*S320*T320*F!$B$71,IF(U320=72%,R320*S320*T320*F!$B$72,IF(U320=73%,R320*S320*T320*F!$B$73,IF(U320=74%,R320*S320*T320*F!$B$74,IF(U320=75%,R320*S320*T320*F!$B$75,IF(U320=76%,R320*S320*T320*F!$B$76,IF(U320=77%,R320*S320*T320*F!$B$77,IF(U320=78%,R320*S320*T320*F!$B$78,IF(U320=79%,R320*S320*T320*F!$B$79,IF(U320=80%,R320*S320*T320*F!$B$80,IF(U320=81%,R320*S320*T320*F!$B$81,IF(U320=82%,R320*S320*T320*F!$B$82,IF(U320=83%,R320*S320*T320*F!$B$83,IF(U320=84%,R320*S320*T320*F!$B$84,IF(U320=85%,R320*S320*T320*F!$B$85,IF(U320=86%,R320*S320*T320*F!$B$86,IF(U320=87%,R320*S320*T320*F!$B$87,IF(U320=88%,R320*S320*T320*F!$B$88,IF(U320=89%,R320*S320*T320*F!$B$89,IF(U320=90%,R320*S320*T320*F!$B$90,IF(U320=91%,R320*S320*T320*F!$B$91,IF(U320=92%,R320*S320*T320*F!$B$92,IF(U320=93%,R320*S320*T320*F!$B$93,IF(U320=94%,R320*S320*T320*F!$B$94,IF(U320=95%,R320*S320*T320*F!$B$95,IF(U320=96%,R320*S320*T320*F!$B$96,IF(U320=97%,R320*S320*T320*F!$B$97,IF(U320=98%,R320*S320*T320*F!$B$98,IF(U320=99%,R320*S320*T320*F!$B$99,IF(U320&gt;99%,R320*S320*T320*F!$B$100)))))))))))))))))))))))))))))))))))))))))))))))))))))))))*IF(ISNUMBER(E320),E320,1)*IF(ISNUMBER(D320),D320,1)</f>
        <v>0</v>
      </c>
      <c r="AA320" s="93">
        <f t="shared" ref="AA320:AA325" si="808">G320*H320+K320*L320+O320*P320+S320*T320</f>
        <v>0</v>
      </c>
      <c r="AB320" s="99">
        <f t="shared" ref="AB320:AB325" si="809">(H320*(IF(I320&lt;45%,0.5,IF(I320&lt;55%,0.8,IF(I320&lt;65%,0.9,IF(I320&lt;75%,1,IF(I320&lt;85%,1.1,1.2))))))+L320*(IF(M320&lt;45%,0.5,IF(M320&lt;55%,0.8,IF(M320&lt;65%,0.9,IF(M320&lt;75%,1,IF(M320&lt;85%,1.1,1.2))))))+P320*(IF(Q320&lt;45%,0.5,IF(Q320&lt;55%,0.8,IF(Q320&lt;65%,0.9,IF(Q320&lt;75%,1,IF(Q320&lt;85%,1.1,1.2))))))+T320*(IF(U320&lt;45%,0.5,IF(U320&lt;55%,0.8,IF(U320&lt;65%,0.9,IF(U320&lt;75%,1,IF(U320&lt;85%,1.1,1.2)))))))*IF(D320&gt;=0.8,6,IF(D320&lt;=0.4,1.5,3))</f>
        <v>0</v>
      </c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 ht="15.0" hidden="1" customHeight="1">
      <c r="A321" s="142">
        <f>A314+1</f>
        <v>42392</v>
      </c>
      <c r="B321" s="101" t="str">
        <f t="shared" ref="B321:C321" si="797">IF(B284="","",B284)</f>
        <v/>
      </c>
      <c r="C321" s="143" t="str">
        <f t="shared" si="797"/>
        <v/>
      </c>
      <c r="D321" s="46" t="str">
        <f t="shared" si="798"/>
        <v/>
      </c>
      <c r="E321" s="144" t="str">
        <f t="shared" si="744"/>
        <v/>
      </c>
      <c r="F321" s="59"/>
      <c r="G321" s="60"/>
      <c r="H321" s="60"/>
      <c r="I321" s="61" t="str">
        <f t="shared" si="799"/>
        <v/>
      </c>
      <c r="J321" s="59"/>
      <c r="K321" s="60"/>
      <c r="L321" s="60"/>
      <c r="M321" s="61" t="str">
        <f t="shared" si="800"/>
        <v/>
      </c>
      <c r="N321" s="59"/>
      <c r="O321" s="60"/>
      <c r="P321" s="60"/>
      <c r="Q321" s="61" t="str">
        <f t="shared" si="801"/>
        <v/>
      </c>
      <c r="R321" s="59"/>
      <c r="S321" s="60"/>
      <c r="T321" s="60"/>
      <c r="U321" s="61" t="str">
        <f t="shared" si="802"/>
        <v/>
      </c>
      <c r="V321" s="104">
        <f t="shared" si="803"/>
        <v>0</v>
      </c>
      <c r="W321" s="64">
        <f t="shared" si="804"/>
        <v>0</v>
      </c>
      <c r="X321" s="65">
        <f t="shared" si="805"/>
        <v>0</v>
      </c>
      <c r="Y321" s="137" t="str">
        <f t="shared" si="806"/>
        <v/>
      </c>
      <c r="Z321" s="64">
        <f t="shared" si="807"/>
        <v>0</v>
      </c>
      <c r="AA321" s="60">
        <f t="shared" si="808"/>
        <v>0</v>
      </c>
      <c r="AB321" s="66">
        <f t="shared" si="809"/>
        <v>0</v>
      </c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 ht="15.75" hidden="1" customHeight="1">
      <c r="A322" s="57"/>
      <c r="B322" s="101" t="str">
        <f t="shared" ref="B322:C322" si="810">IF(B285="","",B285)</f>
        <v/>
      </c>
      <c r="C322" s="143" t="str">
        <f t="shared" si="810"/>
        <v/>
      </c>
      <c r="D322" s="46" t="str">
        <f t="shared" si="798"/>
        <v/>
      </c>
      <c r="E322" s="144" t="str">
        <f t="shared" si="744"/>
        <v/>
      </c>
      <c r="F322" s="105"/>
      <c r="G322" s="106"/>
      <c r="H322" s="106"/>
      <c r="I322" s="107" t="str">
        <f t="shared" si="799"/>
        <v/>
      </c>
      <c r="J322" s="105"/>
      <c r="K322" s="106"/>
      <c r="L322" s="106"/>
      <c r="M322" s="107" t="str">
        <f t="shared" si="800"/>
        <v/>
      </c>
      <c r="N322" s="105"/>
      <c r="O322" s="106"/>
      <c r="P322" s="106"/>
      <c r="Q322" s="107" t="str">
        <f t="shared" si="801"/>
        <v/>
      </c>
      <c r="R322" s="105"/>
      <c r="S322" s="106"/>
      <c r="T322" s="106"/>
      <c r="U322" s="107" t="str">
        <f t="shared" si="802"/>
        <v/>
      </c>
      <c r="V322" s="108">
        <f t="shared" si="803"/>
        <v>0</v>
      </c>
      <c r="W322" s="109">
        <f t="shared" si="804"/>
        <v>0</v>
      </c>
      <c r="X322" s="110">
        <f t="shared" si="805"/>
        <v>0</v>
      </c>
      <c r="Y322" s="137" t="str">
        <f t="shared" si="806"/>
        <v/>
      </c>
      <c r="Z322" s="109">
        <f t="shared" si="807"/>
        <v>0</v>
      </c>
      <c r="AA322" s="106">
        <f t="shared" si="808"/>
        <v>0</v>
      </c>
      <c r="AB322" s="111">
        <f t="shared" si="809"/>
        <v>0</v>
      </c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 ht="15.75" hidden="1" customHeight="1">
      <c r="A323" s="57"/>
      <c r="B323" s="101" t="str">
        <f t="shared" ref="B323:C323" si="811">IF(B286="","",B286)</f>
        <v/>
      </c>
      <c r="C323" s="143" t="str">
        <f t="shared" si="811"/>
        <v/>
      </c>
      <c r="D323" s="46" t="str">
        <f t="shared" si="798"/>
        <v/>
      </c>
      <c r="E323" s="144" t="str">
        <f t="shared" si="744"/>
        <v/>
      </c>
      <c r="F323" s="59"/>
      <c r="G323" s="60"/>
      <c r="H323" s="60"/>
      <c r="I323" s="61" t="str">
        <f t="shared" si="799"/>
        <v/>
      </c>
      <c r="J323" s="59"/>
      <c r="K323" s="60"/>
      <c r="L323" s="60"/>
      <c r="M323" s="61" t="str">
        <f t="shared" si="800"/>
        <v/>
      </c>
      <c r="N323" s="59"/>
      <c r="O323" s="60"/>
      <c r="P323" s="60"/>
      <c r="Q323" s="61" t="str">
        <f t="shared" si="801"/>
        <v/>
      </c>
      <c r="R323" s="59"/>
      <c r="S323" s="60"/>
      <c r="T323" s="60"/>
      <c r="U323" s="61" t="str">
        <f t="shared" si="802"/>
        <v/>
      </c>
      <c r="V323" s="104">
        <f t="shared" si="803"/>
        <v>0</v>
      </c>
      <c r="W323" s="64">
        <f t="shared" si="804"/>
        <v>0</v>
      </c>
      <c r="X323" s="65">
        <f t="shared" si="805"/>
        <v>0</v>
      </c>
      <c r="Y323" s="137" t="str">
        <f t="shared" si="806"/>
        <v/>
      </c>
      <c r="Z323" s="64">
        <f t="shared" si="807"/>
        <v>0</v>
      </c>
      <c r="AA323" s="60">
        <f t="shared" si="808"/>
        <v>0</v>
      </c>
      <c r="AB323" s="66">
        <f t="shared" si="809"/>
        <v>0</v>
      </c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 ht="15.75" hidden="1" customHeight="1">
      <c r="A324" s="57"/>
      <c r="B324" s="101" t="str">
        <f t="shared" ref="B324:C324" si="812">IF(B287="","",B287)</f>
        <v/>
      </c>
      <c r="C324" s="143" t="str">
        <f t="shared" si="812"/>
        <v/>
      </c>
      <c r="D324" s="46" t="str">
        <f t="shared" si="798"/>
        <v/>
      </c>
      <c r="E324" s="144" t="str">
        <f t="shared" si="744"/>
        <v/>
      </c>
      <c r="F324" s="105"/>
      <c r="G324" s="106"/>
      <c r="H324" s="106"/>
      <c r="I324" s="107" t="str">
        <f t="shared" si="799"/>
        <v/>
      </c>
      <c r="J324" s="105"/>
      <c r="K324" s="106"/>
      <c r="L324" s="106"/>
      <c r="M324" s="107" t="str">
        <f t="shared" si="800"/>
        <v/>
      </c>
      <c r="N324" s="105"/>
      <c r="O324" s="106"/>
      <c r="P324" s="106"/>
      <c r="Q324" s="107" t="str">
        <f t="shared" si="801"/>
        <v/>
      </c>
      <c r="R324" s="105"/>
      <c r="S324" s="106"/>
      <c r="T324" s="106"/>
      <c r="U324" s="107" t="str">
        <f t="shared" si="802"/>
        <v/>
      </c>
      <c r="V324" s="108">
        <f t="shared" si="803"/>
        <v>0</v>
      </c>
      <c r="W324" s="109">
        <f t="shared" si="804"/>
        <v>0</v>
      </c>
      <c r="X324" s="117">
        <f t="shared" si="805"/>
        <v>0</v>
      </c>
      <c r="Y324" s="137" t="str">
        <f t="shared" si="806"/>
        <v/>
      </c>
      <c r="Z324" s="109">
        <f t="shared" si="807"/>
        <v>0</v>
      </c>
      <c r="AA324" s="106">
        <f t="shared" si="808"/>
        <v>0</v>
      </c>
      <c r="AB324" s="111">
        <f t="shared" si="809"/>
        <v>0</v>
      </c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 ht="15.75" hidden="1" customHeight="1">
      <c r="A325" s="57"/>
      <c r="B325" s="101" t="str">
        <f t="shared" ref="B325:C325" si="813">IF(B288="","",B288)</f>
        <v/>
      </c>
      <c r="C325" s="143" t="str">
        <f t="shared" si="813"/>
        <v/>
      </c>
      <c r="D325" s="46" t="str">
        <f t="shared" si="798"/>
        <v/>
      </c>
      <c r="E325" s="144" t="str">
        <f t="shared" si="744"/>
        <v/>
      </c>
      <c r="F325" s="59"/>
      <c r="G325" s="60"/>
      <c r="H325" s="60"/>
      <c r="I325" s="61" t="str">
        <f t="shared" si="799"/>
        <v/>
      </c>
      <c r="J325" s="59"/>
      <c r="K325" s="60"/>
      <c r="L325" s="60"/>
      <c r="M325" s="61" t="str">
        <f t="shared" si="800"/>
        <v/>
      </c>
      <c r="N325" s="59"/>
      <c r="O325" s="60"/>
      <c r="P325" s="60"/>
      <c r="Q325" s="61" t="str">
        <f t="shared" si="801"/>
        <v/>
      </c>
      <c r="R325" s="59"/>
      <c r="S325" s="60"/>
      <c r="T325" s="60"/>
      <c r="U325" s="61" t="str">
        <f t="shared" si="802"/>
        <v/>
      </c>
      <c r="V325" s="104">
        <f t="shared" si="803"/>
        <v>0</v>
      </c>
      <c r="W325" s="64">
        <f t="shared" si="804"/>
        <v>0</v>
      </c>
      <c r="X325" s="65">
        <f t="shared" si="805"/>
        <v>0</v>
      </c>
      <c r="Y325" s="137" t="str">
        <f t="shared" si="806"/>
        <v/>
      </c>
      <c r="Z325" s="64">
        <f t="shared" si="807"/>
        <v>0</v>
      </c>
      <c r="AA325" s="60">
        <f t="shared" si="808"/>
        <v>0</v>
      </c>
      <c r="AB325" s="66">
        <f t="shared" si="809"/>
        <v>0</v>
      </c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 ht="15.75" hidden="1" customHeight="1">
      <c r="A326" s="72"/>
      <c r="B326" s="119" t="str">
        <f t="shared" ref="B326:C326" si="814">IF(B289="","",B289)</f>
        <v/>
      </c>
      <c r="C326" s="146" t="str">
        <f t="shared" si="814"/>
        <v/>
      </c>
      <c r="D326" s="75">
        <f>ROUND(IFERROR((D320*(G320*H320+K320*L320+O320*P320+S320*T320)+D321*(G321*H321+K321*L321+O321*P321+S321*T321)+D322*(G322*H322+K322*L322+O322*P322+S322*T322)+D323*(G323*H323+K323*L323+O323*P323+S323*T323)+D324*(G324*H324+K324*L324+O324*P324+S324*T324)+D325*(G325*H325+K325*L325+O325*P325+S325*T325))/((G320*H320+K320*L320+O320*P320+S320*T320)+(G321*H321+K321*L321+O321*P321+S321*T321)+(G322*H322+K322*L322+O322*P322+S322*T322)+(G323*H323+K323*L323+O323*P323+S323*T323)+(G324*H324+K324*L324+O324*P324+S324*T324)+(G325*H325+K325*L325+O325*P325+S325*T325)),0),2)</f>
        <v>0</v>
      </c>
      <c r="E326" s="147" t="str">
        <f t="shared" si="744"/>
        <v/>
      </c>
      <c r="F326" s="122"/>
      <c r="G326" s="123"/>
      <c r="H326" s="123"/>
      <c r="I326" s="124"/>
      <c r="J326" s="122"/>
      <c r="K326" s="123"/>
      <c r="L326" s="123"/>
      <c r="M326" s="124"/>
      <c r="N326" s="122"/>
      <c r="O326" s="123"/>
      <c r="P326" s="123"/>
      <c r="Q326" s="124"/>
      <c r="R326" s="122"/>
      <c r="S326" s="123"/>
      <c r="T326" s="123"/>
      <c r="U326" s="124"/>
      <c r="V326" s="125">
        <f>SUM(V320:V325)</f>
        <v>0</v>
      </c>
      <c r="W326" s="82">
        <f>IFERROR(V326/AA326,0)</f>
        <v>0</v>
      </c>
      <c r="X326" s="83">
        <f>ROUND(IFERROR(((I320*G320*H320+M320*K320*L320+Q320*O320*P320+U320*S320*T320)+(I321*G321*H321+M321*K321*L321+Q321*O321*P321+U321*S321*T321)+(I322*G322*H322+M322*K322*L322+Q322*O322*P322+U322*S322*T322)+(I323*G323*H323+M323*K323*L323+Q323*O323*P323+U323*S323*T323)+(I324*G324*H324+M324*K324*L324+Q324*O324*P324+U324*S324*T324)+(I325*G325*H325+M325*K325*L325+Q325*O325*P325+U325*S325*T325))/((G320*H320+K320*L320+O320*P320+S320*T320)+(G321*H321+K321*L321+O321*P321+S321*T321)+(G322*H322+K322*L322+O322*P322+S322*T322)+(G323*H323+K323*L323+O323*P323+S323*T323)+(G324*H324+K324*L324+O324*P324+S324*T324)+(G325*H325+K325*L325+O325*P325+S325*T325)),0),3)</f>
        <v>0</v>
      </c>
      <c r="Y326" s="84"/>
      <c r="Z326" s="82">
        <f t="shared" ref="Z326:AA326" si="815">SUM(Z320:Z325)</f>
        <v>0</v>
      </c>
      <c r="AA326" s="85">
        <f t="shared" si="815"/>
        <v>0</v>
      </c>
      <c r="AB326" s="86">
        <f>IF(SUM(AB320:AB325)=0,TIME(,0,),TIME(,SUM(AB320:AB325)+30,))</f>
        <v>0</v>
      </c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 ht="15.75" hidden="1" customHeight="1">
      <c r="A327" s="126" t="s">
        <v>36</v>
      </c>
      <c r="B327" s="27" t="str">
        <f t="shared" ref="B327:C327" si="816">IF(B290="","",B290)</f>
        <v/>
      </c>
      <c r="C327" s="148" t="str">
        <f t="shared" si="816"/>
        <v/>
      </c>
      <c r="D327" s="29" t="str">
        <f t="shared" ref="D327:D332" si="818">D290</f>
        <v/>
      </c>
      <c r="E327" s="30" t="str">
        <f t="shared" si="744"/>
        <v/>
      </c>
      <c r="F327" s="31"/>
      <c r="G327" s="32"/>
      <c r="H327" s="32"/>
      <c r="I327" s="33" t="str">
        <f t="shared" ref="I327:I332" si="819">IFERROR(ROUND(F327/$Y327,2),)</f>
        <v/>
      </c>
      <c r="J327" s="31"/>
      <c r="K327" s="32"/>
      <c r="L327" s="32"/>
      <c r="M327" s="33" t="str">
        <f t="shared" ref="M327:M332" si="820">IFERROR(ROUND(J327/$Y327,2),)</f>
        <v/>
      </c>
      <c r="N327" s="31"/>
      <c r="O327" s="32"/>
      <c r="P327" s="32"/>
      <c r="Q327" s="33" t="str">
        <f t="shared" ref="Q327:Q332" si="821">IFERROR(ROUND(N327/$Y327,2),)</f>
        <v/>
      </c>
      <c r="R327" s="31"/>
      <c r="S327" s="32"/>
      <c r="T327" s="32"/>
      <c r="U327" s="33" t="str">
        <f t="shared" ref="U327:U332" si="822">IFERROR(ROUND(R327/$Y327,2),)</f>
        <v/>
      </c>
      <c r="V327" s="130">
        <f t="shared" ref="V327:V332" si="823">(IF(ISNUMBER(F327),F327,1)*G327*H327+IF(ISNUMBER(J327),J327,1)*K327*L327+IF(ISNUMBER(N327),N327,1)*O327*P327+IF(ISNUMBER(R327),R327,1)*S327*T327)*IF(ISNUMBER(E327),E327,1)</f>
        <v>0</v>
      </c>
      <c r="W327" s="36">
        <f t="shared" ref="W327:W332" si="824">IFERROR((IF(ISNUMBER(F327),F327,1)*G327*H327+IF(ISNUMBER(J327),J327,1)*K327*L327+IF(ISNUMBER(N327),N327,1)*O327*P327+IF(ISNUMBER(R327),R327,1)*S327*T327)*IF(ISNUMBER(E327),E327,1)/(G327*H327+K327*L327+O327*P327+S327*T327),0)</f>
        <v>0</v>
      </c>
      <c r="X327" s="34">
        <f t="shared" ref="X327:X332" si="825">ROUND(IFERROR((W327/(Y327*IF(ISNUMBER(E327),E327,1))),0),2)</f>
        <v>0</v>
      </c>
      <c r="Y327" s="37" t="str">
        <f t="shared" ref="Y327:Y332" si="826">IF(ISNUMBER(Y290), Y290+(Y290*$Y$297),"")</f>
        <v/>
      </c>
      <c r="Z327" s="36">
        <f t="shared" ref="Z327:Z332" si="827">(IF(I327&lt;30%,0,IF(I327&lt;35%,F327*G327*H327*F!$B$33,IF(I327&lt;40%,F327*G327*H327*F!$B$38,IF(I327&lt;45%,F327*G327*H327*F!$B$43,IF(I327&lt;50%,F327*G327*H327*F!$B$48,IF(I327=50%,F327*G327*H327*F!$B$50,IF(I327=51%,F327*G327*H327*F!$B$51,IF(I327=52%,F327*G327*H327*F!$B$52,IF(I327=53%,F327*G327*H327*F!$B$53,IF(I327=54%,F327*G327*H327*F!$B$54,IF(I327=55%,F327*G327*H327*F!$B$55,IF(I327=56%,F327*G327*H327*F!$B$56,IF(I327=57%,F327*G327*H327*F!$B$57,IF(I327=58%,F327*G327*H327*F!$B$58,IF(I327=59%,F327*G327*H327*F!$B$59,IF(I327=60%,F327*G327*H327*F!$B$60,IF(I327=61%,F327*G327*H327*F!$B$61,IF(I327=62%,F327*G327*H327*F!$B$62,IF(I327=63%,F327*G327*H327*F!$B$63,IF(I327=64%,F327*G327*H327*F!$B$64,IF(I327=65%,F327*G327*H327*F!$B$65,IF(I327=66%,F327*G327*H327*F!$B$66,IF(I327=67%,F327*G327*H327*F!$B$67,IF(I327=68%,F327*G327*H327*F!$B$68,IF(I327=69%,F327*G327*H327*F!$B$69,IF(I327=70%,F327*G327*H327*F!$B$70,IF(I327=71%,F327*G327*H327*F!$B$71,IF(I327=72%,F327*G327*H327*F!$B$72,IF(I327=73%,F327*G327*H327*F!$B$73,IF(I327=74%,F327*G327*H327*F!$B$74,IF(I327=75%,F327*G327*H327*F!$B$75,IF(I327=76%,F327*G327*H327*F!$B$76,IF(I327=77%,F327*G327*H327*F!$B$77,IF(I327=78%,F327*G327*H327*F!$B$78,IF(I327=79%,F327*G327*H327*F!$B$79,IF(I327=80%,F327*G327*H327*F!$B$80,IF(I327=81%,F327*G327*H327*F!$B$81,IF(I327=82%,F327*G327*H327*F!$B$82,IF(I327=83%,F327*G327*H327*F!$B$83,IF(I327=84%,F327*G327*H327*F!$B$84,IF(I327=85%,F327*G327*H327*F!$B$85,IF(I327=86%,F327*G327*H327*F!$B$86,IF(I327=87%,F327*G327*H327*F!$B$87,IF(I327=88%,F327*G327*H327*F!$B$88,IF(I327=89%,F327*G327*H327*F!$B$89,IF(I327=90%,F327*G327*H327*F!$B$90,IF(I327=91%,F327*G327*H327*F!$B$91,IF(I327=92%,F327*G327*H327*F!$B$92,IF(I327=93%,F327*G327*H327*F!$B$93,IF(I327=94%,F327*G327*H327*F!$B$94,IF(I327=95%,F327*G327*H327*F!$B$95,IF(I327=96%,F327*G327*H327*F!$B$96,IF(I327=97%,F327*G327*H327*F!$B$97,IF(I327=98%,F327*G327*H327*F!$B$98,IF(I327=99%,F327*G327*H327*F!$B$99,IF(I327&gt;99%,F327*G327*H327*F!$B$100,))))))))))))))))))))))))))))))))))))))))))))))))))))))))+IF(M327&lt;30%,0,IF(M327&lt;35%,J327*K327*L327*F!$B$33,IF(M327&lt;40%,J327*K327*L327*F!$B$38,IF(M327&lt;45%,J327*K327*L327*F!$B$43,IF(M327&lt;50%,J327*K327*L327*F!$B$48,IF(M327=50%,J327*K327*L327*F!$B$50,IF(M327=51%,J327*K327*L327*F!$B$51,IF(M327=52%,J327*K327*L327*F!$B$52,IF(M327=53%,J327*K327*L327*F!$B$53,IF(M327=54%,J327*K327*L327*F!$B$54,IF(M327=55%,J327*K327*L327*F!$B$55,IF(M327=56%,J327*K327*L327*F!$B$56,IF(M327=57%,J327*K327*L327*F!$B$57,IF(M327=58%,J327*K327*L327*F!$B$58,IF(M327=59%,J327*K327*L327*F!$B$59,IF(M327=60%,J327*K327*L327*F!$B$60,IF(M327=61%,J327*K327*L327*F!$B$61,IF(M327=62%,J327*K327*L327*F!$B$62,IF(M327=63%,J327*K327*L327*F!$B$63,IF(M327=64%,J327*K327*L327*F!$B$64,IF(M327=65%,J327*K327*L327*F!$B$65,IF(M327=66%,J327*K327*L327*F!$B$66,IF(M327=67%,J327*K327*L327*F!$B$67,IF(M327=68%,J327*K327*L327*F!$B$68,IF(M327=69%,J327*K327*L327*F!$B$69,IF(M327=70%,J327*K327*L327*F!$B$70,IF(M327=71%,J327*K327*L327*F!$B$71,IF(M327=72%,J327*K327*L327*F!$B$72,IF(M327=73%,J327*K327*L327*F!$B$73,IF(M327=74%,J327*K327*L327*F!$B$74,IF(M327=75%,J327*K327*L327*F!$B$75,IF(M327=76%,J327*K327*L327*F!$B$76,IF(M327=77%,J327*K327*L327*F!$B$77,IF(M327=78%,J327*K327*L327*F!$B$78,IF(M327=79%,J327*K327*L327*F!$B$79,IF(M327=80%,J327*K327*L327*F!$B$80,IF(M327=81%,J327*K327*L327*F!$B$81,IF(M327=82%,J327*K327*L327*F!$B$82,IF(M327=83%,J327*K327*L327*F!$B$83,IF(M327=84%,J327*K327*L327*F!$B$84,IF(M327=85%,J327*K327*L327*F!$B$85,IF(M327=86%,J327*K327*L327*F!$B$86,IF(M327=87%,J327*K327*L327*F!$B$87,IF(M327=88%,J327*K327*L327*F!$B$88,IF(M327=89%,J327*K327*L327*F!$B$89,IF(M327=90%,J327*K327*L327*F!$B$90,IF(M327=91%,J327*K327*L327*F!$B$91,IF(M327=92%,J327*K327*L327*F!$B$92,IF(M327=93%,J327*K327*L327*F!$B$93,IF(M327=94%,J327*K327*L327*F!$B$94,IF(M327=95%,J327*K327*L327*F!$B$95,IF(M327=96%,J327*K327*L327*F!$B$96,IF(M327=97%,J327*K327*L327*F!$B$97,IF(M327=98%,J327*K327*L327*F!$B$98,IF(M327=99%,J327*K327*L327*F!$B$99,IF(M327&gt;99%,J327*K327*L327*F!$B$100,))))))))))))))))))))))))))))))))))))))))))))))))))))))))+IF(Q327&lt;30%,0,IF(Q327&lt;35%,N327*O327*P327*F!$B$33,IF(Q327&lt;40%,N327*O327*P327*F!$B$38,IF(Q327&lt;45%,N327*O327*P327*F!$B$43,IF(Q327&lt;50%,N327*O327*P327*F!$B$48,IF(Q327=50%,N327*O327*P327*F!$B$50,IF(Q327=51%,N327*O327*P327*F!$B$51,IF(Q327=52%,N327*O327*P327*F!$B$52,IF(Q327=53%,N327*O327*P327*F!$B$53,IF(Q327=54%,N327*O327*P327*F!$B$54,IF(Q327=55%,N327*O327*P327*F!$B$55,IF(Q327=56%,N327*O327*P327*F!$B$56,IF(Q327=57%,N327*O327*P327*F!$B$57,IF(Q327=58%,N327*O327*P327*F!$B$58,IF(Q327=59%,N327*O327*P327*F!$B$59,IF(Q327=60%,N327*O327*P327*F!$B$60,IF(Q327=61%,N327*O327*P327*F!$B$61,IF(Q327=62%,N327*O327*P327*F!$B$62,IF(Q327=63%,N327*O327*P327*F!$B$63,IF(Q327=64%,N327*O327*P327*F!$B$64,IF(Q327=65%,N327*O327*P327*F!$B$65,IF(Q327=66%,N327*O327*P327*F!$B$66,IF(Q327=67%,N327*O327*P327*F!$B$67,IF(Q327=68%,N327*O327*P327*F!$B$68,IF(Q327=69%,N327*O327*P327*F!$B$69,IF(Q327=70%,N327*O327*P327*F!$B$70,IF(Q327=71%,N327*O327*P327*F!$B$71,IF(Q327=72%,N327*O327*P327*F!$B$72,IF(Q327=73%,N327*O327*P327*F!$B$73,IF(Q327=74%,N327*O327*P327*F!$B$74,IF(Q327=75%,N327*O327*P327*F!$B$75,IF(Q327=76%,N327*O327*P327*F!$B$76,IF(Q327=77%,N327*O327*P327*F!$B$77,IF(Q327=78%,N327*O327*P327*F!$B$78,IF(Q327=79%,N327*O327*P327*F!$B$79,IF(Q327=80%,N327*O327*P327*F!$B$80,IF(Q327=81%,N327*O327*P327*F!$B$81,IF(Q327=82%,N327*O327*P327*F!$B$82,IF(Q327=83%,N327*O327*P327*F!$B$83,IF(Q327=84%,N327*O327*P327*F!$B$84,IF(Q327=85%,N327*O327*P327*F!$B$85,IF(Q327=86%,N327*O327*P327*F!$B$86,IF(Q327=87%,N327*O327*P327*F!$B$87,IF(Q327=88%,N327*O327*P327*F!$B$88,IF(Q327=89%,N327*O327*P327*F!$B$89,IF(Q327=90%,N327*O327*P327*F!$B$90,IF(Q327=91%,N327*O327*P327*F!$B$91,IF(Q327=92%,N327*O327*P327*F!$B$92,IF(Q327=93%,N327*O327*P327*F!$B$93,IF(Q327=94%,N327*O327*P327*F!$B$94,IF(Q327=95%,N327*O327*P327*F!$B$95,IF(Q327=96%,N327*O327*P327*F!$B$96,IF(Q327=97%,N327*O327*P327*F!$B$97,IF(Q327=98%,N327*O327*P327*F!$B$98,IF(Q327=99%,N327*O327*P327*F!$B$99,IF(Q327&gt;99%,N327*O327*P327*F!$B$100,))))))))))))))))))))))))))))))))))))))))))))))))))))))))+IF(U327&lt;30%,0,IF(U327&lt;35%,R327*S327*T327*F!$B$33,IF(U327&lt;40%,R327*S327*T327*F!$B$38,IF(U327&lt;45%,R327*S327*T327*F!$B$43,IF(U327&lt;50%,R327*S327*T327*F!$B$48,IF(U327=50%,R327*S327*T327*F!$B$50,IF(U327=51%,R327*S327*T327*F!$B$51,IF(U327=52%,R327*S327*T327*F!$B$52,IF(U327=53%,R327*S327*T327*F!$B$53,IF(U327=54%,R327*S327*T327*F!$B$54,IF(U327=55%,R327*S327*T327*F!$B$55,IF(U327=56%,R327*S327*T327*F!$B$56,IF(U327=57%,R327*S327*T327*F!$B$57,IF(U327=58%,R327*S327*T327*F!$B$58,IF(U327=59%,R327*S327*T327*F!$B$59,IF(U327=60%,R327*S327*T327*F!$B$60,IF(U327=61%,R327*S327*T327*F!$B$61,IF(U327=62%,R327*S327*T327*F!$B$62,IF(U327=63%,R327*S327*T327*F!$B$63,IF(U327=64%,R327*S327*T327*F!$B$64,IF(U327=65%,R327*S327*T327*F!$B$65,IF(U327=66%,R327*S327*T327*F!$B$66,IF(U327=67%,R327*S327*T327*F!$B$67,IF(U327=68%,R327*S327*T327*F!$B$68,IF(U327=69%,R327*S327*T327*F!$B$69,IF(U327=70%,R327*S327*T327*F!$B$70,IF(U327=71%,R327*S327*T327*F!$B$71,IF(U327=72%,R327*S327*T327*F!$B$72,IF(U327=73%,R327*S327*T327*F!$B$73,IF(U327=74%,R327*S327*T327*F!$B$74,IF(U327=75%,R327*S327*T327*F!$B$75,IF(U327=76%,R327*S327*T327*F!$B$76,IF(U327=77%,R327*S327*T327*F!$B$77,IF(U327=78%,R327*S327*T327*F!$B$78,IF(U327=79%,R327*S327*T327*F!$B$79,IF(U327=80%,R327*S327*T327*F!$B$80,IF(U327=81%,R327*S327*T327*F!$B$81,IF(U327=82%,R327*S327*T327*F!$B$82,IF(U327=83%,R327*S327*T327*F!$B$83,IF(U327=84%,R327*S327*T327*F!$B$84,IF(U327=85%,R327*S327*T327*F!$B$85,IF(U327=86%,R327*S327*T327*F!$B$86,IF(U327=87%,R327*S327*T327*F!$B$87,IF(U327=88%,R327*S327*T327*F!$B$88,IF(U327=89%,R327*S327*T327*F!$B$89,IF(U327=90%,R327*S327*T327*F!$B$90,IF(U327=91%,R327*S327*T327*F!$B$91,IF(U327=92%,R327*S327*T327*F!$B$92,IF(U327=93%,R327*S327*T327*F!$B$93,IF(U327=94%,R327*S327*T327*F!$B$94,IF(U327=95%,R327*S327*T327*F!$B$95,IF(U327=96%,R327*S327*T327*F!$B$96,IF(U327=97%,R327*S327*T327*F!$B$97,IF(U327=98%,R327*S327*T327*F!$B$98,IF(U327=99%,R327*S327*T327*F!$B$99,IF(U327&gt;99%,R327*S327*T327*F!$B$100)))))))))))))))))))))))))))))))))))))))))))))))))))))))))*IF(ISNUMBER(E327),E327,1)*IF(ISNUMBER(D327),D327,1)</f>
        <v>0</v>
      </c>
      <c r="AA327" s="32">
        <f t="shared" ref="AA327:AA332" si="828">G327*H327+K327*L327+O327*P327+S327*T327</f>
        <v>0</v>
      </c>
      <c r="AB327" s="38">
        <f t="shared" ref="AB327:AB332" si="829">(H327*(IF(I327&lt;45%,0.5,IF(I327&lt;55%,0.8,IF(I327&lt;65%,0.9,IF(I327&lt;75%,1,IF(I327&lt;85%,1.1,1.2))))))+L327*(IF(M327&lt;45%,0.5,IF(M327&lt;55%,0.8,IF(M327&lt;65%,0.9,IF(M327&lt;75%,1,IF(M327&lt;85%,1.1,1.2))))))+P327*(IF(Q327&lt;45%,0.5,IF(Q327&lt;55%,0.8,IF(Q327&lt;65%,0.9,IF(Q327&lt;75%,1,IF(Q327&lt;85%,1.1,1.2))))))+T327*(IF(U327&lt;45%,0.5,IF(U327&lt;55%,0.8,IF(U327&lt;65%,0.9,IF(U327&lt;75%,1,IF(U327&lt;85%,1.1,1.2)))))))*IF(D327&gt;=0.8,6,IF(D327&lt;=0.4,1.5,3))</f>
        <v>0</v>
      </c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 ht="15.0" hidden="1" customHeight="1">
      <c r="A328" s="142">
        <f>A321+1</f>
        <v>42393</v>
      </c>
      <c r="B328" s="44" t="str">
        <f t="shared" ref="B328:C328" si="817">IF(B291="","",B291)</f>
        <v/>
      </c>
      <c r="C328" s="149" t="str">
        <f t="shared" si="817"/>
        <v/>
      </c>
      <c r="D328" s="46" t="str">
        <f t="shared" si="818"/>
        <v/>
      </c>
      <c r="E328" s="47" t="str">
        <f t="shared" si="744"/>
        <v/>
      </c>
      <c r="F328" s="48"/>
      <c r="G328" s="49"/>
      <c r="H328" s="49"/>
      <c r="I328" s="50" t="str">
        <f t="shared" si="819"/>
        <v/>
      </c>
      <c r="J328" s="48"/>
      <c r="K328" s="49"/>
      <c r="L328" s="49"/>
      <c r="M328" s="50" t="str">
        <f t="shared" si="820"/>
        <v/>
      </c>
      <c r="N328" s="48"/>
      <c r="O328" s="49"/>
      <c r="P328" s="49"/>
      <c r="Q328" s="50" t="str">
        <f t="shared" si="821"/>
        <v/>
      </c>
      <c r="R328" s="48"/>
      <c r="S328" s="49"/>
      <c r="T328" s="49"/>
      <c r="U328" s="50" t="str">
        <f t="shared" si="822"/>
        <v/>
      </c>
      <c r="V328" s="134">
        <f t="shared" si="823"/>
        <v>0</v>
      </c>
      <c r="W328" s="53">
        <f t="shared" si="824"/>
        <v>0</v>
      </c>
      <c r="X328" s="54">
        <f t="shared" si="825"/>
        <v>0</v>
      </c>
      <c r="Y328" s="137" t="str">
        <f t="shared" si="826"/>
        <v/>
      </c>
      <c r="Z328" s="53">
        <f t="shared" si="827"/>
        <v>0</v>
      </c>
      <c r="AA328" s="49">
        <f t="shared" si="828"/>
        <v>0</v>
      </c>
      <c r="AB328" s="56">
        <f t="shared" si="829"/>
        <v>0</v>
      </c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</row>
    <row r="329" ht="15.75" hidden="1" customHeight="1">
      <c r="A329" s="57"/>
      <c r="B329" s="44" t="str">
        <f t="shared" ref="B329:C329" si="830">IF(B292="","",B292)</f>
        <v/>
      </c>
      <c r="C329" s="149" t="str">
        <f t="shared" si="830"/>
        <v/>
      </c>
      <c r="D329" s="46" t="str">
        <f t="shared" si="818"/>
        <v/>
      </c>
      <c r="E329" s="47" t="str">
        <f t="shared" si="744"/>
        <v/>
      </c>
      <c r="F329" s="59"/>
      <c r="G329" s="60"/>
      <c r="H329" s="60"/>
      <c r="I329" s="61" t="str">
        <f t="shared" si="819"/>
        <v/>
      </c>
      <c r="J329" s="59"/>
      <c r="K329" s="60"/>
      <c r="L329" s="60"/>
      <c r="M329" s="61" t="str">
        <f t="shared" si="820"/>
        <v/>
      </c>
      <c r="N329" s="59"/>
      <c r="O329" s="60"/>
      <c r="P329" s="60"/>
      <c r="Q329" s="61" t="str">
        <f t="shared" si="821"/>
        <v/>
      </c>
      <c r="R329" s="59"/>
      <c r="S329" s="60"/>
      <c r="T329" s="60"/>
      <c r="U329" s="61" t="str">
        <f t="shared" si="822"/>
        <v/>
      </c>
      <c r="V329" s="104">
        <f t="shared" si="823"/>
        <v>0</v>
      </c>
      <c r="W329" s="64">
        <f t="shared" si="824"/>
        <v>0</v>
      </c>
      <c r="X329" s="65">
        <f t="shared" si="825"/>
        <v>0</v>
      </c>
      <c r="Y329" s="137" t="str">
        <f t="shared" si="826"/>
        <v/>
      </c>
      <c r="Z329" s="64">
        <f t="shared" si="827"/>
        <v>0</v>
      </c>
      <c r="AA329" s="60">
        <f t="shared" si="828"/>
        <v>0</v>
      </c>
      <c r="AB329" s="66">
        <f t="shared" si="829"/>
        <v>0</v>
      </c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</row>
    <row r="330" ht="15.75" hidden="1" customHeight="1">
      <c r="A330" s="57"/>
      <c r="B330" s="44" t="str">
        <f t="shared" ref="B330:C330" si="831">IF(B293="","",B293)</f>
        <v/>
      </c>
      <c r="C330" s="149" t="str">
        <f t="shared" si="831"/>
        <v/>
      </c>
      <c r="D330" s="46" t="str">
        <f t="shared" si="818"/>
        <v/>
      </c>
      <c r="E330" s="47" t="str">
        <f t="shared" si="744"/>
        <v/>
      </c>
      <c r="F330" s="48"/>
      <c r="G330" s="49"/>
      <c r="H330" s="49"/>
      <c r="I330" s="50" t="str">
        <f t="shared" si="819"/>
        <v/>
      </c>
      <c r="J330" s="48"/>
      <c r="K330" s="49"/>
      <c r="L330" s="49"/>
      <c r="M330" s="50" t="str">
        <f t="shared" si="820"/>
        <v/>
      </c>
      <c r="N330" s="48"/>
      <c r="O330" s="49"/>
      <c r="P330" s="49"/>
      <c r="Q330" s="50" t="str">
        <f t="shared" si="821"/>
        <v/>
      </c>
      <c r="R330" s="48"/>
      <c r="S330" s="49"/>
      <c r="T330" s="49"/>
      <c r="U330" s="50" t="str">
        <f t="shared" si="822"/>
        <v/>
      </c>
      <c r="V330" s="134">
        <f t="shared" si="823"/>
        <v>0</v>
      </c>
      <c r="W330" s="53">
        <f t="shared" si="824"/>
        <v>0</v>
      </c>
      <c r="X330" s="54">
        <f t="shared" si="825"/>
        <v>0</v>
      </c>
      <c r="Y330" s="137" t="str">
        <f t="shared" si="826"/>
        <v/>
      </c>
      <c r="Z330" s="53">
        <f t="shared" si="827"/>
        <v>0</v>
      </c>
      <c r="AA330" s="49">
        <f t="shared" si="828"/>
        <v>0</v>
      </c>
      <c r="AB330" s="56">
        <f t="shared" si="829"/>
        <v>0</v>
      </c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</row>
    <row r="331" ht="15.75" hidden="1" customHeight="1">
      <c r="A331" s="57"/>
      <c r="B331" s="44" t="str">
        <f t="shared" ref="B331:C331" si="832">IF(B294="","",B294)</f>
        <v/>
      </c>
      <c r="C331" s="149" t="str">
        <f t="shared" si="832"/>
        <v/>
      </c>
      <c r="D331" s="46" t="str">
        <f t="shared" si="818"/>
        <v/>
      </c>
      <c r="E331" s="47" t="str">
        <f t="shared" si="744"/>
        <v/>
      </c>
      <c r="F331" s="59"/>
      <c r="G331" s="60"/>
      <c r="H331" s="60"/>
      <c r="I331" s="61" t="str">
        <f t="shared" si="819"/>
        <v/>
      </c>
      <c r="J331" s="59"/>
      <c r="K331" s="60"/>
      <c r="L331" s="60"/>
      <c r="M331" s="61" t="str">
        <f t="shared" si="820"/>
        <v/>
      </c>
      <c r="N331" s="59"/>
      <c r="O331" s="60"/>
      <c r="P331" s="60"/>
      <c r="Q331" s="61" t="str">
        <f t="shared" si="821"/>
        <v/>
      </c>
      <c r="R331" s="59"/>
      <c r="S331" s="60"/>
      <c r="T331" s="60"/>
      <c r="U331" s="61" t="str">
        <f t="shared" si="822"/>
        <v/>
      </c>
      <c r="V331" s="104">
        <f t="shared" si="823"/>
        <v>0</v>
      </c>
      <c r="W331" s="64">
        <f t="shared" si="824"/>
        <v>0</v>
      </c>
      <c r="X331" s="62">
        <f t="shared" si="825"/>
        <v>0</v>
      </c>
      <c r="Y331" s="137" t="str">
        <f t="shared" si="826"/>
        <v/>
      </c>
      <c r="Z331" s="64">
        <f t="shared" si="827"/>
        <v>0</v>
      </c>
      <c r="AA331" s="60">
        <f t="shared" si="828"/>
        <v>0</v>
      </c>
      <c r="AB331" s="66">
        <f t="shared" si="829"/>
        <v>0</v>
      </c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</row>
    <row r="332" ht="15.75" hidden="1" customHeight="1">
      <c r="A332" s="57"/>
      <c r="B332" s="44" t="str">
        <f t="shared" ref="B332:C332" si="833">IF(B295="","",B295)</f>
        <v/>
      </c>
      <c r="C332" s="149" t="str">
        <f t="shared" si="833"/>
        <v/>
      </c>
      <c r="D332" s="46" t="str">
        <f t="shared" si="818"/>
        <v/>
      </c>
      <c r="E332" s="47" t="str">
        <f t="shared" si="744"/>
        <v/>
      </c>
      <c r="F332" s="48"/>
      <c r="G332" s="49"/>
      <c r="H332" s="49"/>
      <c r="I332" s="50" t="str">
        <f t="shared" si="819"/>
        <v/>
      </c>
      <c r="J332" s="48"/>
      <c r="K332" s="49"/>
      <c r="L332" s="49"/>
      <c r="M332" s="50" t="str">
        <f t="shared" si="820"/>
        <v/>
      </c>
      <c r="N332" s="48"/>
      <c r="O332" s="49"/>
      <c r="P332" s="49"/>
      <c r="Q332" s="50" t="str">
        <f t="shared" si="821"/>
        <v/>
      </c>
      <c r="R332" s="48"/>
      <c r="S332" s="49"/>
      <c r="T332" s="49"/>
      <c r="U332" s="50" t="str">
        <f t="shared" si="822"/>
        <v/>
      </c>
      <c r="V332" s="134">
        <f t="shared" si="823"/>
        <v>0</v>
      </c>
      <c r="W332" s="53">
        <f t="shared" si="824"/>
        <v>0</v>
      </c>
      <c r="X332" s="54">
        <f t="shared" si="825"/>
        <v>0</v>
      </c>
      <c r="Y332" s="137" t="str">
        <f t="shared" si="826"/>
        <v/>
      </c>
      <c r="Z332" s="53">
        <f t="shared" si="827"/>
        <v>0</v>
      </c>
      <c r="AA332" s="49">
        <f t="shared" si="828"/>
        <v>0</v>
      </c>
      <c r="AB332" s="56">
        <f t="shared" si="829"/>
        <v>0</v>
      </c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</row>
    <row r="333" ht="15.75" hidden="1" customHeight="1">
      <c r="A333" s="72"/>
      <c r="B333" s="73" t="str">
        <f t="shared" ref="B333:C333" si="834">IF(B296="","",B296)</f>
        <v/>
      </c>
      <c r="C333" s="150" t="str">
        <f t="shared" si="834"/>
        <v/>
      </c>
      <c r="D333" s="75">
        <f>ROUND(IFERROR((D327*(G327*H327+K327*L327+O327*P327+S327*T327)+D328*(G328*H328+K328*L328+O328*P328+S328*T328)+D329*(G329*H329+K329*L329+O329*P329+S329*T329)+D330*(G330*H330+K330*L330+O330*P330+S330*T330)+D331*(G331*H331+K331*L331+O331*P331+S331*T331)+D332*(G332*H332+K332*L332+O332*P332+S332*T332))/((G327*H327+K327*L327+O327*P327+S327*T327)+(G328*H328+K328*L328+O328*P328+S328*T328)+(G329*H329+K329*L329+O329*P329+S329*T329)+(G330*H330+K330*L330+O330*P330+S330*T330)+(G331*H331+K331*L331+O331*P331+S331*T331)+(G332*H332+K332*L332+O332*P332+S332*T332)),0),2)</f>
        <v>0</v>
      </c>
      <c r="E333" s="76" t="str">
        <f t="shared" si="744"/>
        <v/>
      </c>
      <c r="F333" s="77"/>
      <c r="G333" s="78"/>
      <c r="H333" s="78"/>
      <c r="I333" s="79"/>
      <c r="J333" s="77"/>
      <c r="K333" s="78"/>
      <c r="L333" s="78"/>
      <c r="M333" s="79"/>
      <c r="N333" s="77"/>
      <c r="O333" s="78"/>
      <c r="P333" s="78"/>
      <c r="Q333" s="79"/>
      <c r="R333" s="77"/>
      <c r="S333" s="78"/>
      <c r="T333" s="78"/>
      <c r="U333" s="79"/>
      <c r="V333" s="125">
        <f>SUM(V327:V332)</f>
        <v>0</v>
      </c>
      <c r="W333" s="82">
        <f t="shared" ref="W333:W334" si="836">IFERROR(V333/AA333,0)</f>
        <v>0</v>
      </c>
      <c r="X333" s="83">
        <f>ROUND(IFERROR(((I327*G327*H327+M327*K327*L327+Q327*O327*P327+U327*S327*T327)+(I328*G328*H328+M328*K328*L328+Q328*O328*P328+U328*S328*T328)+(I329*G329*H329+M329*K329*L329+Q329*O329*P329+U329*S329*T329)+(I330*G330*H330+M330*K330*L330+Q330*O330*P330+U330*S330*T330)+(I331*G331*H331+M331*K331*L331+Q331*O331*P331+U331*S331*T331)+(I332*G332*H332+M332*K332*L332+Q332*O332*P332+U332*S332*T332))/((G327*H327+K327*L327+O327*P327+S327*T327)+(G328*H328+K328*L328+O328*P328+S328*T328)+(G329*H329+K329*L329+O329*P329+S329*T329)+(G330*H330+K330*L330+O330*P330+S330*T330)+(G331*H331+K331*L331+O331*P331+S331*T331)+(G332*H332+K332*L332+O332*P332+S332*T332)),0),3)</f>
        <v>0</v>
      </c>
      <c r="Y333" s="84"/>
      <c r="Z333" s="82">
        <f t="shared" ref="Z333:AA333" si="835">SUM(Z327:Z332)</f>
        <v>0</v>
      </c>
      <c r="AA333" s="85">
        <f t="shared" si="835"/>
        <v>0</v>
      </c>
      <c r="AB333" s="86">
        <f>IF(SUM(AB327:AB332)=0,TIME(,0,),TIME(,SUM(AB327:AB332)+30,))</f>
        <v>0</v>
      </c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</row>
    <row r="334" ht="15.75" customHeight="1">
      <c r="A334" s="151" t="s">
        <v>55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3"/>
      <c r="V334" s="152">
        <f>V342+V349+V356+V363+V370</f>
        <v>19801.2</v>
      </c>
      <c r="W334" s="153">
        <f t="shared" si="836"/>
        <v>23.82815884</v>
      </c>
      <c r="X334" s="154"/>
      <c r="Y334" s="155">
        <v>0.01</v>
      </c>
      <c r="Z334" s="156" t="str">
        <f t="shared" ref="Z334:AB334" si="837">Z342+Z349+Z356+Z363+Z370</f>
        <v>#REF!</v>
      </c>
      <c r="AA334" s="154">
        <f t="shared" si="837"/>
        <v>831</v>
      </c>
      <c r="AB334" s="157">
        <f t="shared" si="837"/>
        <v>0.23125</v>
      </c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</row>
    <row r="335" ht="15.75" customHeight="1">
      <c r="A335" s="15" t="s">
        <v>1</v>
      </c>
      <c r="B335" s="158" t="s">
        <v>2</v>
      </c>
      <c r="C335" s="159" t="s">
        <v>3</v>
      </c>
      <c r="D335" s="160" t="s">
        <v>46</v>
      </c>
      <c r="E335" s="18" t="s">
        <v>5</v>
      </c>
      <c r="F335" s="158" t="s">
        <v>6</v>
      </c>
      <c r="G335" s="158" t="s">
        <v>7</v>
      </c>
      <c r="H335" s="158" t="s">
        <v>8</v>
      </c>
      <c r="I335" s="158" t="s">
        <v>9</v>
      </c>
      <c r="J335" s="158" t="s">
        <v>6</v>
      </c>
      <c r="K335" s="158" t="s">
        <v>7</v>
      </c>
      <c r="L335" s="158" t="s">
        <v>8</v>
      </c>
      <c r="M335" s="158" t="s">
        <v>9</v>
      </c>
      <c r="N335" s="158" t="s">
        <v>6</v>
      </c>
      <c r="O335" s="158" t="s">
        <v>7</v>
      </c>
      <c r="P335" s="158" t="s">
        <v>8</v>
      </c>
      <c r="Q335" s="158" t="s">
        <v>9</v>
      </c>
      <c r="R335" s="158" t="s">
        <v>6</v>
      </c>
      <c r="S335" s="158" t="s">
        <v>7</v>
      </c>
      <c r="T335" s="158" t="s">
        <v>8</v>
      </c>
      <c r="U335" s="158" t="s">
        <v>9</v>
      </c>
      <c r="V335" s="158" t="s">
        <v>10</v>
      </c>
      <c r="W335" s="160" t="s">
        <v>11</v>
      </c>
      <c r="X335" s="160" t="s">
        <v>12</v>
      </c>
      <c r="Y335" s="181" t="s">
        <v>13</v>
      </c>
      <c r="Z335" s="162" t="s">
        <v>14</v>
      </c>
      <c r="AA335" s="158" t="s">
        <v>15</v>
      </c>
      <c r="AB335" s="163" t="s">
        <v>16</v>
      </c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</row>
    <row r="336" ht="15.75" customHeight="1">
      <c r="A336" s="26" t="s">
        <v>17</v>
      </c>
      <c r="B336" s="27" t="str">
        <f t="shared" ref="B336:C336" si="838">IF(B299="","",B299)</f>
        <v>Тяжелая</v>
      </c>
      <c r="C336" s="148" t="str">
        <f t="shared" si="838"/>
        <v>Ягодичный мост со штангой</v>
      </c>
      <c r="D336" s="29">
        <f t="shared" ref="D336:D341" si="839">D299</f>
        <v>1</v>
      </c>
      <c r="E336" s="30" t="str">
        <f t="shared" ref="E336:E370" si="840">IF(E299="","",E299)</f>
        <v/>
      </c>
      <c r="F336" s="31">
        <f t="shared" ref="F336:F341" si="841">IF(I336&lt;&gt;0,(IFERROR(IF($Y336&gt;50,MROUND($Y336*I336,2.5),IF($Y336&lt;15,MROUND($Y336*I336,0.1),MROUND($Y336*I336,1))),)),"")</f>
        <v>55</v>
      </c>
      <c r="G336" s="32">
        <v>10.0</v>
      </c>
      <c r="H336" s="32">
        <v>1.0</v>
      </c>
      <c r="I336" s="33">
        <v>0.55</v>
      </c>
      <c r="J336" s="31">
        <f t="shared" ref="J336:J341" si="842">IF(M336&lt;&gt;0,(IFERROR(IF($Y336&gt;50,MROUND($Y336*M336,2.5),IF($Y336&lt;15,MROUND($Y336*M336,0.1),MROUND($Y336*M336,1))),)),"")</f>
        <v>60</v>
      </c>
      <c r="K336" s="32">
        <v>10.0</v>
      </c>
      <c r="L336" s="32">
        <v>1.0</v>
      </c>
      <c r="M336" s="33">
        <v>0.62</v>
      </c>
      <c r="N336" s="31">
        <f t="shared" ref="N336:N341" si="843">IF(Q336&lt;&gt;0,(IFERROR(IF($Y336&gt;50,MROUND($Y336*Q336,2.5),IF($Y336&lt;15,MROUND($Y336*Q336,0.1),MROUND($Y336*Q336,1))),)),"")</f>
        <v>70</v>
      </c>
      <c r="O336" s="32">
        <v>8.0</v>
      </c>
      <c r="P336" s="32">
        <v>3.0</v>
      </c>
      <c r="Q336" s="33">
        <v>0.7</v>
      </c>
      <c r="R336" s="31" t="str">
        <f t="shared" ref="R336:R341" si="844">IF(U336&lt;&gt;0,(IFERROR(IF($Y336&gt;50,MROUND($Y336*U336,2.5),IF($Y336&lt;15,MROUND($Y336*U336,0.1),MROUND($Y336*U336,1))),)),"")</f>
        <v/>
      </c>
      <c r="S336" s="32"/>
      <c r="T336" s="32"/>
      <c r="U336" s="34">
        <v>0.0</v>
      </c>
      <c r="V336" s="35">
        <f t="shared" ref="V336:V341" si="845">(IF(ISNUMBER(F336),F336,1)*G336*H336+IF(ISNUMBER(J336),J336,1)*K336*L336+IF(ISNUMBER(N336),N336,1)*O336*P336+IF(ISNUMBER(R336),R336,1)*S336*T336)*IF(ISNUMBER(E336),E336,1)</f>
        <v>2830</v>
      </c>
      <c r="W336" s="36">
        <f t="shared" ref="W336:W341" si="846">IFERROR((IF(ISNUMBER(F336),F336,1)*G336*H336+IF(ISNUMBER(J336),J336,1)*K336*L336+IF(ISNUMBER(N336),N336,1)*O336*P336+IF(ISNUMBER(R336),R336,1)*S336*T336)*IF(ISNUMBER(E336),E336,1)/(G336*H336+K336*L336+O336*P336+S336*T336),0)</f>
        <v>64.31818182</v>
      </c>
      <c r="X336" s="34">
        <f t="shared" ref="X336:X341" si="847">ROUND(IFERROR((W336/(Y336*IF(ISNUMBER(E336),E336,1))),0),2)</f>
        <v>0.65</v>
      </c>
      <c r="Y336" s="37">
        <f t="shared" ref="Y336:Y341" si="848">IF(ISNUMBER(Y299), Y299+(Y299*$Y$334),"")</f>
        <v>98.43167454</v>
      </c>
      <c r="Z336" s="36" t="str">
        <f t="shared" ref="Z336:Z341" si="849">(IF(I336&lt;30%,0,IF(I336&lt;35%,F336*G336*H336*F!$B$33,IF(I336&lt;40%,F336*G336*H336*F!$B$38,IF(I336&lt;45%,F336*G336*H336*F!$B$43,IF(I336&lt;50%,F336*G336*H336*F!$B$48,IF(I336=50%,F336*G336*H336*F!$B$50,IF(I336=51%,F336*G336*H336*F!$B$51,IF(I336=52%,F336*G336*H336*F!$B$52,IF(I336=53%,F336*G336*H336*F!$B$53,IF(I336=54%,F336*G336*H336*F!$B$54,IF(I336=55%,F336*G336*H336*F!$B$55,IF(I336=56%,F336*G336*H336*F!$B$56,IF(I336=57%,F336*G336*H336*F!$B$57,IF(I336=58%,F336*G336*H336*F!$B$58,IF(I336=59%,F336*G336*H336*F!$B$59,IF(I336=60%,F336*G336*H336*F!$B$60,IF(I336=61%,F336*G336*H336*F!$B$61,IF(I336=62%,F336*G336*H336*F!$B$62,IF(I336=63%,F336*G336*H336*F!$B$63,IF(I336=64%,F336*G336*H336*F!$B$64,IF(I336=65%,F336*G336*H336*F!$B$65,IF(I336=66%,F336*G336*H336*F!$B$66,IF(I336=67%,F336*G336*H336*F!$B$67,IF(I336=68%,F336*G336*H336*F!$B$68,IF(I336=69%,F336*G336*H336*F!$B$69,IF(I336=70%,F336*G336*H336*F!$B$70,IF(I336=71%,F336*G336*H336*F!$B$71,IF(I336=72%,F336*G336*H336*F!$B$72,IF(I336=73%,F336*G336*H336*F!$B$73,IF(I336=74%,F336*G336*H336*F!$B$74,IF(I336=75%,F336*G336*H336*F!$B$75,IF(I336=76%,F336*G336*H336*F!$B$76,IF(I336=77%,F336*G336*H336*F!$B$77,IF(I336=78%,F336*G336*H336*F!$B$78,IF(I336=79%,F336*G336*H336*F!$B$79,IF(I336=80%,F336*G336*H336*F!$B$80,IF(I336=81%,F336*G336*H336*F!$B$81,IF(I336=82%,F336*G336*H336*F!$B$82,IF(I336=83%,F336*G336*H336*F!$B$83,IF(I336=84%,F336*G336*H336*F!$B$84,IF(I336=85%,F336*G336*H336*F!$B$85,IF(I336=86%,F336*G336*H336*F!$B$86,IF(I336=87%,F336*G336*H336*F!$B$87,IF(I336=88%,F336*G336*H336*F!$B$88,IF(I336=89%,F336*G336*H336*F!$B$89,IF(I336=90%,F336*G336*H336*F!$B$90,IF(I336=91%,F336*G336*H336*F!$B$91,IF(I336=92%,F336*G336*H336*F!$B$92,IF(I336=93%,F336*G336*H336*F!$B$93,IF(I336=94%,F336*G336*H336*F!$B$94,IF(I336=95%,F336*G336*H336*F!$B$95,IF(I336=96%,F336*G336*H336*F!$B$96,IF(I336=97%,F336*G336*H336*F!$B$97,IF(I336=98%,F336*G336*H336*F!$B$98,IF(I336=99%,F336*G336*H336*F!$B$99,IF(I336&gt;99%,F336*G336*H336*F!$B$100,))))))))))))))))))))))))))))))))))))))))))))))))))))))))+IF(M336&lt;30%,0,IF(M336&lt;35%,J336*K336*L336*F!$B$33,IF(M336&lt;40%,J336*K336*L336*F!$B$38,IF(M336&lt;45%,J336*K336*L336*F!$B$43,IF(M336&lt;50%,J336*K336*L336*F!$B$48,IF(M336=50%,J336*K336*L336*F!$B$50,IF(M336=51%,J336*K336*L336*F!$B$51,IF(M336=52%,J336*K336*L336*F!$B$52,IF(M336=53%,J336*K336*L336*F!$B$53,IF(M336=54%,J336*K336*L336*F!$B$54,IF(M336=55%,J336*K336*L336*F!$B$55,IF(M336=56%,J336*K336*L336*F!$B$56,IF(M336=57%,J336*K336*L336*F!$B$57,IF(M336=58%,J336*K336*L336*F!$B$58,IF(M336=59%,J336*K336*L336*F!$B$59,IF(M336=60%,J336*K336*L336*F!$B$60,IF(M336=61%,J336*K336*L336*F!$B$61,IF(M336=62%,J336*K336*L336*F!$B$62,IF(M336=63%,J336*K336*L336*F!$B$63,IF(M336=64%,J336*K336*L336*F!$B$64,IF(M336=65%,J336*K336*L336*F!$B$65,IF(M336=66%,J336*K336*L336*F!$B$66,IF(M336=67%,J336*K336*L336*F!$B$67,IF(M336=68%,J336*K336*L336*F!$B$68,IF(M336=69%,J336*K336*L336*F!$B$69,IF(M336=70%,J336*K336*L336*F!$B$70,IF(M336=71%,J336*K336*L336*F!$B$71,IF(M336=72%,J336*K336*L336*F!$B$72,IF(M336=73%,J336*K336*L336*F!$B$73,IF(M336=74%,J336*K336*L336*F!$B$74,IF(M336=75%,J336*K336*L336*F!$B$75,IF(M336=76%,J336*K336*L336*F!$B$76,IF(M336=77%,J336*K336*L336*F!$B$77,IF(M336=78%,J336*K336*L336*F!$B$78,IF(M336=79%,J336*K336*L336*F!$B$79,IF(M336=80%,J336*K336*L336*F!$B$80,IF(M336=81%,J336*K336*L336*F!$B$81,IF(M336=82%,J336*K336*L336*F!$B$82,IF(M336=83%,J336*K336*L336*F!$B$83,IF(M336=84%,J336*K336*L336*F!$B$84,IF(M336=85%,J336*K336*L336*F!$B$85,IF(M336=86%,J336*K336*L336*F!$B$86,IF(M336=87%,J336*K336*L336*F!$B$87,IF(M336=88%,J336*K336*L336*F!$B$88,IF(M336=89%,J336*K336*L336*F!$B$89,IF(M336=90%,J336*K336*L336*F!$B$90,IF(M336=91%,J336*K336*L336*F!$B$91,IF(M336=92%,J336*K336*L336*F!$B$92,IF(M336=93%,J336*K336*L336*F!$B$93,IF(M336=94%,J336*K336*L336*F!$B$94,IF(M336=95%,J336*K336*L336*F!$B$95,IF(M336=96%,J336*K336*L336*F!$B$96,IF(M336=97%,J336*K336*L336*F!$B$97,IF(M336=98%,J336*K336*L336*F!$B$98,IF(M336=99%,J336*K336*L336*F!$B$99,IF(M336&gt;99%,J336*K336*L336*F!$B$100,))))))))))))))))))))))))))))))))))))))))))))))))))))))))+IF(Q336&lt;30%,0,IF(Q336&lt;35%,N336*O336*P336*F!$B$33,IF(Q336&lt;40%,N336*O336*P336*F!$B$38,IF(Q336&lt;45%,N336*O336*P336*F!$B$43,IF(Q336&lt;50%,N336*O336*P336*F!$B$48,IF(Q336=50%,N336*O336*P336*F!$B$50,IF(Q336=51%,N336*O336*P336*F!$B$51,IF(Q336=52%,N336*O336*P336*F!$B$52,IF(Q336=53%,N336*O336*P336*F!$B$53,IF(Q336=54%,N336*O336*P336*F!$B$54,IF(Q336=55%,N336*O336*P336*F!$B$55,IF(Q336=56%,N336*O336*P336*F!$B$56,IF(Q336=57%,N336*O336*P336*F!$B$57,IF(Q336=58%,N336*O336*P336*F!$B$58,IF(Q336=59%,N336*O336*P336*F!$B$59,IF(Q336=60%,N336*O336*P336*F!$B$60,IF(Q336=61%,N336*O336*P336*F!$B$61,IF(Q336=62%,N336*O336*P336*F!$B$62,IF(Q336=63%,N336*O336*P336*F!$B$63,IF(Q336=64%,N336*O336*P336*F!$B$64,IF(Q336=65%,N336*O336*P336*F!$B$65,IF(Q336=66%,N336*O336*P336*F!$B$66,IF(Q336=67%,N336*O336*P336*F!$B$67,IF(Q336=68%,N336*O336*P336*F!$B$68,IF(Q336=69%,N336*O336*P336*F!$B$69,IF(Q336=70%,N336*O336*P336*F!$B$70,IF(Q336=71%,N336*O336*P336*F!$B$71,IF(Q336=72%,N336*O336*P336*F!$B$72,IF(Q336=73%,N336*O336*P336*F!$B$73,IF(Q336=74%,N336*O336*P336*F!$B$74,IF(Q336=75%,N336*O336*P336*F!$B$75,IF(Q336=76%,N336*O336*P336*F!$B$76,IF(Q336=77%,N336*O336*P336*F!$B$77,IF(Q336=78%,N336*O336*P336*F!$B$78,IF(Q336=79%,N336*O336*P336*F!$B$79,IF(Q336=80%,N336*O336*P336*F!$B$80,IF(Q336=81%,N336*O336*P336*F!$B$81,IF(Q336=82%,N336*O336*P336*F!$B$82,IF(Q336=83%,N336*O336*P336*F!$B$83,IF(Q336=84%,N336*O336*P336*F!$B$84,IF(Q336=85%,N336*O336*P336*F!$B$85,IF(Q336=86%,N336*O336*P336*F!$B$86,IF(Q336=87%,N336*O336*P336*F!$B$87,IF(Q336=88%,N336*O336*P336*F!$B$88,IF(Q336=89%,N336*O336*P336*F!$B$89,IF(Q336=90%,N336*O336*P336*F!$B$90,IF(Q336=91%,N336*O336*P336*F!$B$91,IF(Q336=92%,N336*O336*P336*F!$B$92,IF(Q336=93%,N336*O336*P336*F!$B$93,IF(Q336=94%,N336*O336*P336*F!$B$94,IF(Q336=95%,N336*O336*P336*F!$B$95,IF(Q336=96%,N336*O336*P336*F!$B$96,IF(Q336=97%,N336*O336*P336*F!$B$97,IF(Q336=98%,N336*O336*P336*F!$B$98,IF(Q336=99%,N336*O336*P336*F!$B$99,IF(Q336&gt;99%,N336*O336*P336*F!$B$100,))))))))))))))))))))))))))))))))))))))))))))))))))))))))+IF(U336&lt;30%,0,IF(U336&lt;35%,R336*S336*T336*F!$B$33,IF(U336&lt;40%,R336*S336*T336*F!$B$38,IF(U336&lt;45%,R336*S336*T336*F!$B$43,IF(U336&lt;50%,R336*S336*T336*F!$B$48,IF(U336=50%,R336*S336*T336*F!$B$50,IF(U336=51%,R336*S336*T336*F!$B$51,IF(U336=52%,R336*S336*T336*F!$B$52,IF(U336=53%,R336*S336*T336*F!$B$53,IF(U336=54%,R336*S336*T336*F!$B$54,IF(U336=55%,R336*S336*T336*F!$B$55,IF(U336=56%,R336*S336*T336*F!$B$56,IF(U336=57%,R336*S336*T336*F!$B$57,IF(U336=58%,R336*S336*T336*F!$B$58,IF(U336=59%,R336*S336*T336*F!$B$59,IF(U336=60%,R336*S336*T336*F!$B$60,IF(U336=61%,R336*S336*T336*F!$B$61,IF(U336=62%,R336*S336*T336*F!$B$62,IF(U336=63%,R336*S336*T336*F!$B$63,IF(U336=64%,R336*S336*T336*F!$B$64,IF(U336=65%,R336*S336*T336*F!$B$65,IF(U336=66%,R336*S336*T336*F!$B$66,IF(U336=67%,R336*S336*T336*F!$B$67,IF(U336=68%,R336*S336*T336*F!$B$68,IF(U336=69%,R336*S336*T336*F!$B$69,IF(U336=70%,R336*S336*T336*F!$B$70,IF(U336=71%,R336*S336*T336*F!$B$71,IF(U336=72%,R336*S336*T336*F!$B$72,IF(U336=73%,R336*S336*T336*F!$B$73,IF(U336=74%,R336*S336*T336*F!$B$74,IF(U336=75%,R336*S336*T336*F!$B$75,IF(U336=76%,R336*S336*T336*F!$B$76,IF(U336=77%,R336*S336*T336*F!$B$77,IF(U336=78%,R336*S336*T336*F!$B$78,IF(U336=79%,R336*S336*T336*F!$B$79,IF(U336=80%,R336*S336*T336*F!$B$80,IF(U336=81%,R336*S336*T336*F!$B$81,IF(U336=82%,R336*S336*T336*F!$B$82,IF(U336=83%,R336*S336*T336*F!$B$83,IF(U336=84%,R336*S336*T336*F!$B$84,IF(U336=85%,R336*S336*T336*F!$B$85,IF(U336=86%,R336*S336*T336*F!$B$86,IF(U336=87%,R336*S336*T336*F!$B$87,IF(U336=88%,R336*S336*T336*F!$B$88,IF(U336=89%,R336*S336*T336*F!$B$89,IF(U336=90%,R336*S336*T336*F!$B$90,IF(U336=91%,R336*S336*T336*F!$B$91,IF(U336=92%,R336*S336*T336*F!$B$92,IF(U336=93%,R336*S336*T336*F!$B$93,IF(U336=94%,R336*S336*T336*F!$B$94,IF(U336=95%,R336*S336*T336*F!$B$95,IF(U336=96%,R336*S336*T336*F!$B$96,IF(U336=97%,R336*S336*T336*F!$B$97,IF(U336=98%,R336*S336*T336*F!$B$98,IF(U336=99%,R336*S336*T336*F!$B$99,IF(U336&gt;99%,R336*S336*T336*F!$B$100)))))))))))))))))))))))))))))))))))))))))))))))))))))))))*IF(ISNUMBER(E336),E336,1)*IF(ISNUMBER(D336),D336,1)</f>
        <v>#REF!</v>
      </c>
      <c r="AA336" s="32">
        <f t="shared" ref="AA336:AA341" si="850">G336*H336+K336*L336+O336*P336+S336*T336</f>
        <v>44</v>
      </c>
      <c r="AB336" s="38">
        <f t="shared" ref="AB336:AB341" si="851">(H336*(IF(I336&lt;45%,0.5,IF(I336&lt;55%,0.8,IF(I336&lt;65%,0.9,IF(I336&lt;75%,1,IF(I336&lt;85%,1.1,1.2))))))+L336*(IF(M336&lt;45%,0.5,IF(M336&lt;55%,0.8,IF(M336&lt;65%,0.9,IF(M336&lt;75%,1,IF(M336&lt;85%,1.1,1.2))))))+P336*(IF(Q336&lt;45%,0.5,IF(Q336&lt;55%,0.8,IF(Q336&lt;65%,0.9,IF(Q336&lt;75%,1,IF(Q336&lt;85%,1.1,1.2))))))+T336*(IF(U336&lt;45%,0.5,IF(U336&lt;55%,0.8,IF(U336&lt;65%,0.9,IF(U336&lt;75%,1,IF(U336&lt;85%,1.1,1.2)))))))*IF(D336&gt;=0.8,6,IF(D336&lt;=0.4,1.5,3))</f>
        <v>28.8</v>
      </c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</row>
    <row r="337" ht="15.0" customHeight="1">
      <c r="A337" s="43">
        <f>A300+7</f>
        <v>42394</v>
      </c>
      <c r="B337" s="44" t="s">
        <v>18</v>
      </c>
      <c r="C337" s="149" t="str">
        <f>IF(C300="","",C300)</f>
        <v>Болгарские выпады</v>
      </c>
      <c r="D337" s="46">
        <f t="shared" si="839"/>
        <v>0.3</v>
      </c>
      <c r="E337" s="47" t="str">
        <f t="shared" si="840"/>
        <v/>
      </c>
      <c r="F337" s="48">
        <f t="shared" si="841"/>
        <v>15</v>
      </c>
      <c r="G337" s="49">
        <v>12.0</v>
      </c>
      <c r="H337" s="49">
        <v>4.0</v>
      </c>
      <c r="I337" s="50">
        <v>0.45</v>
      </c>
      <c r="J337" s="48" t="str">
        <f t="shared" si="842"/>
        <v/>
      </c>
      <c r="K337" s="49"/>
      <c r="L337" s="49"/>
      <c r="M337" s="50">
        <v>0.0</v>
      </c>
      <c r="N337" s="48" t="str">
        <f t="shared" si="843"/>
        <v/>
      </c>
      <c r="O337" s="49"/>
      <c r="P337" s="49"/>
      <c r="Q337" s="50">
        <v>0.0</v>
      </c>
      <c r="R337" s="48" t="str">
        <f t="shared" si="844"/>
        <v/>
      </c>
      <c r="S337" s="49"/>
      <c r="T337" s="49"/>
      <c r="U337" s="51">
        <v>0.0</v>
      </c>
      <c r="V337" s="52">
        <f t="shared" si="845"/>
        <v>720</v>
      </c>
      <c r="W337" s="53">
        <f t="shared" si="846"/>
        <v>15</v>
      </c>
      <c r="X337" s="54">
        <f t="shared" si="847"/>
        <v>0.46</v>
      </c>
      <c r="Y337" s="137">
        <f t="shared" si="848"/>
        <v>32.81055818</v>
      </c>
      <c r="Z337" s="53" t="str">
        <f t="shared" si="849"/>
        <v>#REF!</v>
      </c>
      <c r="AA337" s="49">
        <f t="shared" si="850"/>
        <v>48</v>
      </c>
      <c r="AB337" s="56">
        <f t="shared" si="851"/>
        <v>4.8</v>
      </c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</row>
    <row r="338" ht="15.75" customHeight="1">
      <c r="A338" s="57"/>
      <c r="B338" s="44" t="str">
        <f t="shared" ref="B338:C338" si="852">IF(B301="","",B301)</f>
        <v>Средняя</v>
      </c>
      <c r="C338" s="149" t="str">
        <f t="shared" si="852"/>
        <v>Разведение ног в тренажёре</v>
      </c>
      <c r="D338" s="46">
        <f t="shared" si="839"/>
        <v>0.3</v>
      </c>
      <c r="E338" s="47">
        <f t="shared" si="840"/>
        <v>5</v>
      </c>
      <c r="F338" s="59">
        <f t="shared" si="841"/>
        <v>5.7</v>
      </c>
      <c r="G338" s="60">
        <v>12.0</v>
      </c>
      <c r="H338" s="60">
        <v>4.0</v>
      </c>
      <c r="I338" s="61">
        <v>0.52</v>
      </c>
      <c r="J338" s="59" t="str">
        <f t="shared" si="842"/>
        <v/>
      </c>
      <c r="K338" s="60"/>
      <c r="L338" s="60"/>
      <c r="M338" s="61">
        <v>0.0</v>
      </c>
      <c r="N338" s="59" t="str">
        <f t="shared" si="843"/>
        <v/>
      </c>
      <c r="O338" s="60"/>
      <c r="P338" s="60"/>
      <c r="Q338" s="61">
        <v>0.0</v>
      </c>
      <c r="R338" s="59" t="str">
        <f t="shared" si="844"/>
        <v/>
      </c>
      <c r="S338" s="60"/>
      <c r="T338" s="60"/>
      <c r="U338" s="62">
        <v>0.0</v>
      </c>
      <c r="V338" s="63">
        <f t="shared" si="845"/>
        <v>1368</v>
      </c>
      <c r="W338" s="64">
        <f t="shared" si="846"/>
        <v>28.5</v>
      </c>
      <c r="X338" s="65">
        <f t="shared" si="847"/>
        <v>0.52</v>
      </c>
      <c r="Y338" s="137">
        <f t="shared" si="848"/>
        <v>10.93685273</v>
      </c>
      <c r="Z338" s="64" t="str">
        <f t="shared" si="849"/>
        <v>#REF!</v>
      </c>
      <c r="AA338" s="60">
        <f t="shared" si="850"/>
        <v>48</v>
      </c>
      <c r="AB338" s="66">
        <f t="shared" si="851"/>
        <v>4.8</v>
      </c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</row>
    <row r="339" ht="15.75" customHeight="1">
      <c r="A339" s="57"/>
      <c r="B339" s="44" t="str">
        <f t="shared" ref="B339:C339" si="853">IF(B302="","",B302)</f>
        <v>Тяжелая</v>
      </c>
      <c r="C339" s="149" t="str">
        <f t="shared" si="853"/>
        <v>Присед</v>
      </c>
      <c r="D339" s="46">
        <f t="shared" si="839"/>
        <v>1.2</v>
      </c>
      <c r="E339" s="47" t="str">
        <f t="shared" si="840"/>
        <v/>
      </c>
      <c r="F339" s="48">
        <f t="shared" si="841"/>
        <v>30</v>
      </c>
      <c r="G339" s="49">
        <v>10.0</v>
      </c>
      <c r="H339" s="49">
        <v>1.0</v>
      </c>
      <c r="I339" s="50">
        <v>0.57</v>
      </c>
      <c r="J339" s="67">
        <f t="shared" si="842"/>
        <v>37.5</v>
      </c>
      <c r="K339" s="49">
        <v>8.0</v>
      </c>
      <c r="L339" s="49">
        <v>4.0</v>
      </c>
      <c r="M339" s="50">
        <v>0.68</v>
      </c>
      <c r="N339" s="48" t="str">
        <f t="shared" si="843"/>
        <v/>
      </c>
      <c r="O339" s="49"/>
      <c r="P339" s="49"/>
      <c r="Q339" s="50">
        <v>0.0</v>
      </c>
      <c r="R339" s="48" t="str">
        <f t="shared" si="844"/>
        <v/>
      </c>
      <c r="S339" s="49"/>
      <c r="T339" s="49"/>
      <c r="U339" s="51">
        <v>0.0</v>
      </c>
      <c r="V339" s="52">
        <f t="shared" si="845"/>
        <v>1500</v>
      </c>
      <c r="W339" s="53">
        <f t="shared" si="846"/>
        <v>35.71428571</v>
      </c>
      <c r="X339" s="54">
        <f t="shared" si="847"/>
        <v>0.65</v>
      </c>
      <c r="Y339" s="137">
        <f t="shared" si="848"/>
        <v>54.68426363</v>
      </c>
      <c r="Z339" s="53" t="str">
        <f t="shared" si="849"/>
        <v>#REF!</v>
      </c>
      <c r="AA339" s="49">
        <f t="shared" si="850"/>
        <v>42</v>
      </c>
      <c r="AB339" s="56">
        <f t="shared" si="851"/>
        <v>29.4</v>
      </c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</row>
    <row r="340" ht="15.75" customHeight="1">
      <c r="A340" s="57"/>
      <c r="B340" s="44" t="s">
        <v>23</v>
      </c>
      <c r="C340" s="149" t="str">
        <f>IF(C303="","",C303)</f>
        <v>Жим гантелей вверх</v>
      </c>
      <c r="D340" s="46">
        <f t="shared" si="839"/>
        <v>1.2</v>
      </c>
      <c r="E340" s="47">
        <f t="shared" si="840"/>
        <v>2</v>
      </c>
      <c r="F340" s="59">
        <f t="shared" si="841"/>
        <v>3.1</v>
      </c>
      <c r="G340" s="60">
        <v>12.0</v>
      </c>
      <c r="H340" s="60">
        <v>1.0</v>
      </c>
      <c r="I340" s="61">
        <v>0.4</v>
      </c>
      <c r="J340" s="59">
        <f t="shared" si="842"/>
        <v>4.2</v>
      </c>
      <c r="K340" s="60">
        <v>10.0</v>
      </c>
      <c r="L340" s="60">
        <v>1.0</v>
      </c>
      <c r="M340" s="61">
        <v>0.55</v>
      </c>
      <c r="N340" s="59">
        <f t="shared" si="843"/>
        <v>5.1</v>
      </c>
      <c r="O340" s="60">
        <v>8.0</v>
      </c>
      <c r="P340" s="60">
        <v>3.0</v>
      </c>
      <c r="Q340" s="61">
        <v>0.67</v>
      </c>
      <c r="R340" s="59" t="str">
        <f t="shared" si="844"/>
        <v/>
      </c>
      <c r="S340" s="60"/>
      <c r="T340" s="60"/>
      <c r="U340" s="62">
        <v>0.0</v>
      </c>
      <c r="V340" s="63">
        <f t="shared" si="845"/>
        <v>403.2</v>
      </c>
      <c r="W340" s="64">
        <f t="shared" si="846"/>
        <v>8.765217391</v>
      </c>
      <c r="X340" s="62">
        <f t="shared" si="847"/>
        <v>0.57</v>
      </c>
      <c r="Y340" s="137">
        <f t="shared" si="848"/>
        <v>7.655796909</v>
      </c>
      <c r="Z340" s="64" t="str">
        <f t="shared" si="849"/>
        <v>#REF!</v>
      </c>
      <c r="AA340" s="60">
        <f t="shared" si="850"/>
        <v>46</v>
      </c>
      <c r="AB340" s="66">
        <f t="shared" si="851"/>
        <v>26.4</v>
      </c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</row>
    <row r="341" ht="15.75" customHeight="1">
      <c r="A341" s="57"/>
      <c r="B341" s="44" t="str">
        <f t="shared" ref="B341:C341" si="854">IF(B304="","",B304)</f>
        <v>Средняя</v>
      </c>
      <c r="C341" s="149" t="str">
        <f t="shared" si="854"/>
        <v>Разведение гантелей в стороны</v>
      </c>
      <c r="D341" s="46">
        <f t="shared" si="839"/>
        <v>0.4</v>
      </c>
      <c r="E341" s="47">
        <f t="shared" si="840"/>
        <v>2</v>
      </c>
      <c r="F341" s="48">
        <f t="shared" si="841"/>
        <v>3.8</v>
      </c>
      <c r="G341" s="49">
        <v>12.0</v>
      </c>
      <c r="H341" s="49">
        <v>4.0</v>
      </c>
      <c r="I341" s="50">
        <v>0.58</v>
      </c>
      <c r="J341" s="48" t="str">
        <f t="shared" si="842"/>
        <v/>
      </c>
      <c r="K341" s="49"/>
      <c r="L341" s="49"/>
      <c r="M341" s="50">
        <v>0.0</v>
      </c>
      <c r="N341" s="48" t="str">
        <f t="shared" si="843"/>
        <v/>
      </c>
      <c r="O341" s="49"/>
      <c r="P341" s="49"/>
      <c r="Q341" s="50">
        <v>0.0</v>
      </c>
      <c r="R341" s="48" t="str">
        <f t="shared" si="844"/>
        <v/>
      </c>
      <c r="S341" s="49"/>
      <c r="T341" s="49"/>
      <c r="U341" s="51">
        <v>0.0</v>
      </c>
      <c r="V341" s="52">
        <f t="shared" si="845"/>
        <v>364.8</v>
      </c>
      <c r="W341" s="53">
        <f t="shared" si="846"/>
        <v>7.6</v>
      </c>
      <c r="X341" s="54">
        <f t="shared" si="847"/>
        <v>0.58</v>
      </c>
      <c r="Y341" s="137">
        <f t="shared" si="848"/>
        <v>6.562111636</v>
      </c>
      <c r="Z341" s="53" t="str">
        <f t="shared" si="849"/>
        <v>#REF!</v>
      </c>
      <c r="AA341" s="49">
        <f t="shared" si="850"/>
        <v>48</v>
      </c>
      <c r="AB341" s="56">
        <f t="shared" si="851"/>
        <v>5.4</v>
      </c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</row>
    <row r="342" ht="15.75" customHeight="1">
      <c r="A342" s="72"/>
      <c r="B342" s="73" t="str">
        <f t="shared" ref="B342:C342" si="855">IF(B305="","",B305)</f>
        <v/>
      </c>
      <c r="C342" s="174" t="str">
        <f t="shared" si="855"/>
        <v>Разгибание рук на блоке</v>
      </c>
      <c r="D342" s="75">
        <f>ROUND(IFERROR((D336*(G336*H336+K336*L336+O336*P336+S336*T336)+D337*(G337*H337+K337*L337+O337*P337+S337*T337)+D338*(G338*H338+K338*L338+O338*P338+S338*T338)+D339*(G339*H339+K339*L339+O339*P339+S339*T339)+D340*(G340*H340+K340*L340+O340*P340+S340*T340)+D341*(G341*H341+K341*L341+O341*P341+S341*T341))/((G336*H336+K336*L336+O336*P336+S336*T336)+(G337*H337+K337*L337+O337*P337+S337*T337)+(G338*H338+K338*L338+O338*P338+S338*T338)+(G339*H339+K339*L339+O339*P339+S339*T339)+(G340*H340+K340*L340+O340*P340+S340*T340)+(G341*H341+K341*L341+O341*P341+S341*T341)),0),2)</f>
        <v>0.72</v>
      </c>
      <c r="E342" s="76" t="str">
        <f t="shared" si="840"/>
        <v/>
      </c>
      <c r="F342" s="77"/>
      <c r="G342" s="78"/>
      <c r="H342" s="78"/>
      <c r="I342" s="79"/>
      <c r="J342" s="77"/>
      <c r="K342" s="78"/>
      <c r="L342" s="78"/>
      <c r="M342" s="79"/>
      <c r="N342" s="77"/>
      <c r="O342" s="78"/>
      <c r="P342" s="78"/>
      <c r="Q342" s="79"/>
      <c r="R342" s="77"/>
      <c r="S342" s="78"/>
      <c r="T342" s="78"/>
      <c r="U342" s="80"/>
      <c r="V342" s="81">
        <f>SUM(V336:V341)</f>
        <v>7186</v>
      </c>
      <c r="W342" s="82">
        <f>IFERROR(V342/AA342,0)</f>
        <v>26.03623188</v>
      </c>
      <c r="X342" s="83">
        <f>ROUND(IFERROR(((I336*G336*H336+M336*K336*L336+Q336*O336*P336+U336*S336*T336)+(I337*G337*H337+M337*K337*L337+Q337*O337*P337+U337*S337*T337)+(I338*G338*H338+M338*K338*L338+Q338*O338*P338+U338*S338*T338)+(I339*G339*H339+M339*K339*L339+Q339*O339*P339+U339*S339*T339)+(I340*G340*H340+M340*K340*L340+Q340*O340*P340+U340*S340*T340)+(I341*G341*H341+M341*K341*L341+Q341*O341*P341+U341*S341*T341))/((G336*H336+K336*L336+O336*P336+S336*T336)+(G337*H337+K337*L337+O337*P337+S337*T337)+(G338*H338+K338*L338+O338*P338+S338*T338)+(G339*H339+K339*L339+O339*P339+S339*T339)+(G340*H340+K340*L340+O340*P340+S340*T340)+(G341*H341+K341*L341+O341*P341+S341*T341)),0),3)</f>
        <v>0.568</v>
      </c>
      <c r="Y342" s="84"/>
      <c r="Z342" s="82" t="str">
        <f t="shared" ref="Z342:AA342" si="856">SUM(Z336:Z341)</f>
        <v>#REF!</v>
      </c>
      <c r="AA342" s="85">
        <f t="shared" si="856"/>
        <v>276</v>
      </c>
      <c r="AB342" s="86">
        <f>IF(SUM(AB336:AB341)=0,TIME(,0,),TIME(,SUM(AB336:AB341)+30,))</f>
        <v>0.08958333333</v>
      </c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</row>
    <row r="343" ht="15.75" customHeight="1">
      <c r="A343" s="88" t="s">
        <v>28</v>
      </c>
      <c r="B343" s="89" t="str">
        <f t="shared" ref="B343:C343" si="857">IF(B306="","",B306)</f>
        <v>Тяжелая</v>
      </c>
      <c r="C343" s="141" t="str">
        <f t="shared" si="857"/>
        <v>Румынская тяга</v>
      </c>
      <c r="D343" s="29">
        <f t="shared" ref="D343:D348" si="858">D306</f>
        <v>1</v>
      </c>
      <c r="E343" s="91" t="str">
        <f t="shared" si="840"/>
        <v/>
      </c>
      <c r="F343" s="92">
        <f t="shared" ref="F343:F348" si="859">IF(I343&lt;&gt;0,(IFERROR(IF($Y343&gt;50,MROUND($Y343*I343,2.5),IF($Y343&lt;15,MROUND($Y343*I343,0.1),MROUND($Y343*I343,1))),)),"")</f>
        <v>30</v>
      </c>
      <c r="G343" s="93">
        <v>12.0</v>
      </c>
      <c r="H343" s="93">
        <v>3.0</v>
      </c>
      <c r="I343" s="94">
        <v>0.5</v>
      </c>
      <c r="J343" s="92">
        <f t="shared" ref="J343:J348" si="860">IF(M343&lt;&gt;0,(IFERROR(IF($Y343&gt;50,MROUND($Y343*M343,2.5),IF($Y343&lt;15,MROUND($Y343*M343,0.1),MROUND($Y343*M343,1))),)),"")</f>
        <v>35</v>
      </c>
      <c r="K343" s="93">
        <v>15.0</v>
      </c>
      <c r="L343" s="93">
        <v>1.0</v>
      </c>
      <c r="M343" s="94">
        <v>0.58</v>
      </c>
      <c r="N343" s="92">
        <f t="shared" ref="N343:N348" si="861">IF(Q343&lt;&gt;0,(IFERROR(IF($Y343&gt;50,MROUND($Y343*Q343,2.5),IF($Y343&lt;15,MROUND($Y343*Q343,0.1),MROUND($Y343*Q343,1))),)),"")</f>
        <v>37.5</v>
      </c>
      <c r="O343" s="93">
        <v>20.0</v>
      </c>
      <c r="P343" s="93">
        <v>1.0</v>
      </c>
      <c r="Q343" s="94">
        <v>0.63</v>
      </c>
      <c r="R343" s="92" t="str">
        <f t="shared" ref="R343:R348" si="862">IF(U343&lt;&gt;0,(IFERROR(IF($Y343&gt;50,MROUND($Y343*U343,2.5),IF($Y343&lt;15,MROUND($Y343*U343,0.1),MROUND($Y343*U343,1))),)),"")</f>
        <v/>
      </c>
      <c r="S343" s="93"/>
      <c r="T343" s="93"/>
      <c r="U343" s="94">
        <v>0.0</v>
      </c>
      <c r="V343" s="95">
        <f t="shared" ref="V343:V348" si="863">(IF(ISNUMBER(F343),F343,1)*G343*H343+IF(ISNUMBER(J343),J343,1)*K343*L343+IF(ISNUMBER(N343),N343,1)*O343*P343+IF(ISNUMBER(R343),R343,1)*S343*T343)*IF(ISNUMBER(E343),E343,1)</f>
        <v>2355</v>
      </c>
      <c r="W343" s="96">
        <f t="shared" ref="W343:W348" si="864">IFERROR((IF(ISNUMBER(F343),F343,1)*G343*H343+IF(ISNUMBER(J343),J343,1)*K343*L343+IF(ISNUMBER(N343),N343,1)*O343*P343+IF(ISNUMBER(R343),R343,1)*S343*T343)*IF(ISNUMBER(E343),E343,1)/(G343*H343+K343*L343+O343*P343+S343*T343),0)</f>
        <v>33.16901408</v>
      </c>
      <c r="X343" s="97">
        <f t="shared" ref="X343:X348" si="865">ROUND(IFERROR((W343/(Y343*IF(ISNUMBER(E343),E343,1))),0),2)</f>
        <v>0.55</v>
      </c>
      <c r="Y343" s="37">
        <f t="shared" ref="Y343:Y348" si="866">IF(ISNUMBER(Y306), Y306+(Y306*$Y$334),"")</f>
        <v>60.15269</v>
      </c>
      <c r="Z343" s="96" t="str">
        <f t="shared" ref="Z343:Z348" si="867">(IF(I343&lt;30%,0,IF(I343&lt;35%,F343*G343*H343*F!$B$33,IF(I343&lt;40%,F343*G343*H343*F!$B$38,IF(I343&lt;45%,F343*G343*H343*F!$B$43,IF(I343&lt;50%,F343*G343*H343*F!$B$48,IF(I343=50%,F343*G343*H343*F!$B$50,IF(I343=51%,F343*G343*H343*F!$B$51,IF(I343=52%,F343*G343*H343*F!$B$52,IF(I343=53%,F343*G343*H343*F!$B$53,IF(I343=54%,F343*G343*H343*F!$B$54,IF(I343=55%,F343*G343*H343*F!$B$55,IF(I343=56%,F343*G343*H343*F!$B$56,IF(I343=57%,F343*G343*H343*F!$B$57,IF(I343=58%,F343*G343*H343*F!$B$58,IF(I343=59%,F343*G343*H343*F!$B$59,IF(I343=60%,F343*G343*H343*F!$B$60,IF(I343=61%,F343*G343*H343*F!$B$61,IF(I343=62%,F343*G343*H343*F!$B$62,IF(I343=63%,F343*G343*H343*F!$B$63,IF(I343=64%,F343*G343*H343*F!$B$64,IF(I343=65%,F343*G343*H343*F!$B$65,IF(I343=66%,F343*G343*H343*F!$B$66,IF(I343=67%,F343*G343*H343*F!$B$67,IF(I343=68%,F343*G343*H343*F!$B$68,IF(I343=69%,F343*G343*H343*F!$B$69,IF(I343=70%,F343*G343*H343*F!$B$70,IF(I343=71%,F343*G343*H343*F!$B$71,IF(I343=72%,F343*G343*H343*F!$B$72,IF(I343=73%,F343*G343*H343*F!$B$73,IF(I343=74%,F343*G343*H343*F!$B$74,IF(I343=75%,F343*G343*H343*F!$B$75,IF(I343=76%,F343*G343*H343*F!$B$76,IF(I343=77%,F343*G343*H343*F!$B$77,IF(I343=78%,F343*G343*H343*F!$B$78,IF(I343=79%,F343*G343*H343*F!$B$79,IF(I343=80%,F343*G343*H343*F!$B$80,IF(I343=81%,F343*G343*H343*F!$B$81,IF(I343=82%,F343*G343*H343*F!$B$82,IF(I343=83%,F343*G343*H343*F!$B$83,IF(I343=84%,F343*G343*H343*F!$B$84,IF(I343=85%,F343*G343*H343*F!$B$85,IF(I343=86%,F343*G343*H343*F!$B$86,IF(I343=87%,F343*G343*H343*F!$B$87,IF(I343=88%,F343*G343*H343*F!$B$88,IF(I343=89%,F343*G343*H343*F!$B$89,IF(I343=90%,F343*G343*H343*F!$B$90,IF(I343=91%,F343*G343*H343*F!$B$91,IF(I343=92%,F343*G343*H343*F!$B$92,IF(I343=93%,F343*G343*H343*F!$B$93,IF(I343=94%,F343*G343*H343*F!$B$94,IF(I343=95%,F343*G343*H343*F!$B$95,IF(I343=96%,F343*G343*H343*F!$B$96,IF(I343=97%,F343*G343*H343*F!$B$97,IF(I343=98%,F343*G343*H343*F!$B$98,IF(I343=99%,F343*G343*H343*F!$B$99,IF(I343&gt;99%,F343*G343*H343*F!$B$100,))))))))))))))))))))))))))))))))))))))))))))))))))))))))+IF(M343&lt;30%,0,IF(M343&lt;35%,J343*K343*L343*F!$B$33,IF(M343&lt;40%,J343*K343*L343*F!$B$38,IF(M343&lt;45%,J343*K343*L343*F!$B$43,IF(M343&lt;50%,J343*K343*L343*F!$B$48,IF(M343=50%,J343*K343*L343*F!$B$50,IF(M343=51%,J343*K343*L343*F!$B$51,IF(M343=52%,J343*K343*L343*F!$B$52,IF(M343=53%,J343*K343*L343*F!$B$53,IF(M343=54%,J343*K343*L343*F!$B$54,IF(M343=55%,J343*K343*L343*F!$B$55,IF(M343=56%,J343*K343*L343*F!$B$56,IF(M343=57%,J343*K343*L343*F!$B$57,IF(M343=58%,J343*K343*L343*F!$B$58,IF(M343=59%,J343*K343*L343*F!$B$59,IF(M343=60%,J343*K343*L343*F!$B$60,IF(M343=61%,J343*K343*L343*F!$B$61,IF(M343=62%,J343*K343*L343*F!$B$62,IF(M343=63%,J343*K343*L343*F!$B$63,IF(M343=64%,J343*K343*L343*F!$B$64,IF(M343=65%,J343*K343*L343*F!$B$65,IF(M343=66%,J343*K343*L343*F!$B$66,IF(M343=67%,J343*K343*L343*F!$B$67,IF(M343=68%,J343*K343*L343*F!$B$68,IF(M343=69%,J343*K343*L343*F!$B$69,IF(M343=70%,J343*K343*L343*F!$B$70,IF(M343=71%,J343*K343*L343*F!$B$71,IF(M343=72%,J343*K343*L343*F!$B$72,IF(M343=73%,J343*K343*L343*F!$B$73,IF(M343=74%,J343*K343*L343*F!$B$74,IF(M343=75%,J343*K343*L343*F!$B$75,IF(M343=76%,J343*K343*L343*F!$B$76,IF(M343=77%,J343*K343*L343*F!$B$77,IF(M343=78%,J343*K343*L343*F!$B$78,IF(M343=79%,J343*K343*L343*F!$B$79,IF(M343=80%,J343*K343*L343*F!$B$80,IF(M343=81%,J343*K343*L343*F!$B$81,IF(M343=82%,J343*K343*L343*F!$B$82,IF(M343=83%,J343*K343*L343*F!$B$83,IF(M343=84%,J343*K343*L343*F!$B$84,IF(M343=85%,J343*K343*L343*F!$B$85,IF(M343=86%,J343*K343*L343*F!$B$86,IF(M343=87%,J343*K343*L343*F!$B$87,IF(M343=88%,J343*K343*L343*F!$B$88,IF(M343=89%,J343*K343*L343*F!$B$89,IF(M343=90%,J343*K343*L343*F!$B$90,IF(M343=91%,J343*K343*L343*F!$B$91,IF(M343=92%,J343*K343*L343*F!$B$92,IF(M343=93%,J343*K343*L343*F!$B$93,IF(M343=94%,J343*K343*L343*F!$B$94,IF(M343=95%,J343*K343*L343*F!$B$95,IF(M343=96%,J343*K343*L343*F!$B$96,IF(M343=97%,J343*K343*L343*F!$B$97,IF(M343=98%,J343*K343*L343*F!$B$98,IF(M343=99%,J343*K343*L343*F!$B$99,IF(M343&gt;99%,J343*K343*L343*F!$B$100,))))))))))))))))))))))))))))))))))))))))))))))))))))))))+IF(Q343&lt;30%,0,IF(Q343&lt;35%,N343*O343*P343*F!$B$33,IF(Q343&lt;40%,N343*O343*P343*F!$B$38,IF(Q343&lt;45%,N343*O343*P343*F!$B$43,IF(Q343&lt;50%,N343*O343*P343*F!$B$48,IF(Q343=50%,N343*O343*P343*F!$B$50,IF(Q343=51%,N343*O343*P343*F!$B$51,IF(Q343=52%,N343*O343*P343*F!$B$52,IF(Q343=53%,N343*O343*P343*F!$B$53,IF(Q343=54%,N343*O343*P343*F!$B$54,IF(Q343=55%,N343*O343*P343*F!$B$55,IF(Q343=56%,N343*O343*P343*F!$B$56,IF(Q343=57%,N343*O343*P343*F!$B$57,IF(Q343=58%,N343*O343*P343*F!$B$58,IF(Q343=59%,N343*O343*P343*F!$B$59,IF(Q343=60%,N343*O343*P343*F!$B$60,IF(Q343=61%,N343*O343*P343*F!$B$61,IF(Q343=62%,N343*O343*P343*F!$B$62,IF(Q343=63%,N343*O343*P343*F!$B$63,IF(Q343=64%,N343*O343*P343*F!$B$64,IF(Q343=65%,N343*O343*P343*F!$B$65,IF(Q343=66%,N343*O343*P343*F!$B$66,IF(Q343=67%,N343*O343*P343*F!$B$67,IF(Q343=68%,N343*O343*P343*F!$B$68,IF(Q343=69%,N343*O343*P343*F!$B$69,IF(Q343=70%,N343*O343*P343*F!$B$70,IF(Q343=71%,N343*O343*P343*F!$B$71,IF(Q343=72%,N343*O343*P343*F!$B$72,IF(Q343=73%,N343*O343*P343*F!$B$73,IF(Q343=74%,N343*O343*P343*F!$B$74,IF(Q343=75%,N343*O343*P343*F!$B$75,IF(Q343=76%,N343*O343*P343*F!$B$76,IF(Q343=77%,N343*O343*P343*F!$B$77,IF(Q343=78%,N343*O343*P343*F!$B$78,IF(Q343=79%,N343*O343*P343*F!$B$79,IF(Q343=80%,N343*O343*P343*F!$B$80,IF(Q343=81%,N343*O343*P343*F!$B$81,IF(Q343=82%,N343*O343*P343*F!$B$82,IF(Q343=83%,N343*O343*P343*F!$B$83,IF(Q343=84%,N343*O343*P343*F!$B$84,IF(Q343=85%,N343*O343*P343*F!$B$85,IF(Q343=86%,N343*O343*P343*F!$B$86,IF(Q343=87%,N343*O343*P343*F!$B$87,IF(Q343=88%,N343*O343*P343*F!$B$88,IF(Q343=89%,N343*O343*P343*F!$B$89,IF(Q343=90%,N343*O343*P343*F!$B$90,IF(Q343=91%,N343*O343*P343*F!$B$91,IF(Q343=92%,N343*O343*P343*F!$B$92,IF(Q343=93%,N343*O343*P343*F!$B$93,IF(Q343=94%,N343*O343*P343*F!$B$94,IF(Q343=95%,N343*O343*P343*F!$B$95,IF(Q343=96%,N343*O343*P343*F!$B$96,IF(Q343=97%,N343*O343*P343*F!$B$97,IF(Q343=98%,N343*O343*P343*F!$B$98,IF(Q343=99%,N343*O343*P343*F!$B$99,IF(Q343&gt;99%,N343*O343*P343*F!$B$100,))))))))))))))))))))))))))))))))))))))))))))))))))))))))+IF(U343&lt;30%,0,IF(U343&lt;35%,R343*S343*T343*F!$B$33,IF(U343&lt;40%,R343*S343*T343*F!$B$38,IF(U343&lt;45%,R343*S343*T343*F!$B$43,IF(U343&lt;50%,R343*S343*T343*F!$B$48,IF(U343=50%,R343*S343*T343*F!$B$50,IF(U343=51%,R343*S343*T343*F!$B$51,IF(U343=52%,R343*S343*T343*F!$B$52,IF(U343=53%,R343*S343*T343*F!$B$53,IF(U343=54%,R343*S343*T343*F!$B$54,IF(U343=55%,R343*S343*T343*F!$B$55,IF(U343=56%,R343*S343*T343*F!$B$56,IF(U343=57%,R343*S343*T343*F!$B$57,IF(U343=58%,R343*S343*T343*F!$B$58,IF(U343=59%,R343*S343*T343*F!$B$59,IF(U343=60%,R343*S343*T343*F!$B$60,IF(U343=61%,R343*S343*T343*F!$B$61,IF(U343=62%,R343*S343*T343*F!$B$62,IF(U343=63%,R343*S343*T343*F!$B$63,IF(U343=64%,R343*S343*T343*F!$B$64,IF(U343=65%,R343*S343*T343*F!$B$65,IF(U343=66%,R343*S343*T343*F!$B$66,IF(U343=67%,R343*S343*T343*F!$B$67,IF(U343=68%,R343*S343*T343*F!$B$68,IF(U343=69%,R343*S343*T343*F!$B$69,IF(U343=70%,R343*S343*T343*F!$B$70,IF(U343=71%,R343*S343*T343*F!$B$71,IF(U343=72%,R343*S343*T343*F!$B$72,IF(U343=73%,R343*S343*T343*F!$B$73,IF(U343=74%,R343*S343*T343*F!$B$74,IF(U343=75%,R343*S343*T343*F!$B$75,IF(U343=76%,R343*S343*T343*F!$B$76,IF(U343=77%,R343*S343*T343*F!$B$77,IF(U343=78%,R343*S343*T343*F!$B$78,IF(U343=79%,R343*S343*T343*F!$B$79,IF(U343=80%,R343*S343*T343*F!$B$80,IF(U343=81%,R343*S343*T343*F!$B$81,IF(U343=82%,R343*S343*T343*F!$B$82,IF(U343=83%,R343*S343*T343*F!$B$83,IF(U343=84%,R343*S343*T343*F!$B$84,IF(U343=85%,R343*S343*T343*F!$B$85,IF(U343=86%,R343*S343*T343*F!$B$86,IF(U343=87%,R343*S343*T343*F!$B$87,IF(U343=88%,R343*S343*T343*F!$B$88,IF(U343=89%,R343*S343*T343*F!$B$89,IF(U343=90%,R343*S343*T343*F!$B$90,IF(U343=91%,R343*S343*T343*F!$B$91,IF(U343=92%,R343*S343*T343*F!$B$92,IF(U343=93%,R343*S343*T343*F!$B$93,IF(U343=94%,R343*S343*T343*F!$B$94,IF(U343=95%,R343*S343*T343*F!$B$95,IF(U343=96%,R343*S343*T343*F!$B$96,IF(U343=97%,R343*S343*T343*F!$B$97,IF(U343=98%,R343*S343*T343*F!$B$98,IF(U343=99%,R343*S343*T343*F!$B$99,IF(U343&gt;99%,R343*S343*T343*F!$B$100)))))))))))))))))))))))))))))))))))))))))))))))))))))))))*IF(ISNUMBER(E343),E343,1)*IF(ISNUMBER(D343),D343,1)</f>
        <v>#REF!</v>
      </c>
      <c r="AA343" s="93">
        <f t="shared" ref="AA343:AA348" si="868">G343*H343+K343*L343+O343*P343+S343*T343</f>
        <v>71</v>
      </c>
      <c r="AB343" s="99">
        <f t="shared" ref="AB343:AB348" si="869">(H343*(IF(I343&lt;45%,0.5,IF(I343&lt;55%,0.8,IF(I343&lt;65%,0.9,IF(I343&lt;75%,1,IF(I343&lt;85%,1.1,1.2))))))+L343*(IF(M343&lt;45%,0.5,IF(M343&lt;55%,0.8,IF(M343&lt;65%,0.9,IF(M343&lt;75%,1,IF(M343&lt;85%,1.1,1.2))))))+P343*(IF(Q343&lt;45%,0.5,IF(Q343&lt;55%,0.8,IF(Q343&lt;65%,0.9,IF(Q343&lt;75%,1,IF(Q343&lt;85%,1.1,1.2))))))+T343*(IF(U343&lt;45%,0.5,IF(U343&lt;55%,0.8,IF(U343&lt;65%,0.9,IF(U343&lt;75%,1,IF(U343&lt;85%,1.1,1.2)))))))*IF(D343&gt;=0.8,6,IF(D343&lt;=0.4,1.5,3))</f>
        <v>25.2</v>
      </c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</row>
    <row r="344" ht="15.0" customHeight="1">
      <c r="A344" s="43">
        <f>A337+2</f>
        <v>42396</v>
      </c>
      <c r="B344" s="101" t="s">
        <v>23</v>
      </c>
      <c r="C344" s="143" t="str">
        <f>IF(C307="","",C307)</f>
        <v>Выпады назад</v>
      </c>
      <c r="D344" s="46">
        <f t="shared" si="858"/>
        <v>1</v>
      </c>
      <c r="E344" s="144">
        <f t="shared" si="840"/>
        <v>2</v>
      </c>
      <c r="F344" s="59">
        <f t="shared" si="859"/>
        <v>8</v>
      </c>
      <c r="G344" s="60">
        <v>12.0</v>
      </c>
      <c r="H344" s="60">
        <v>1.0</v>
      </c>
      <c r="I344" s="61">
        <v>0.5</v>
      </c>
      <c r="J344" s="59">
        <f t="shared" si="860"/>
        <v>9</v>
      </c>
      <c r="K344" s="60">
        <v>10.0</v>
      </c>
      <c r="L344" s="60">
        <v>1.0</v>
      </c>
      <c r="M344" s="61">
        <v>0.62</v>
      </c>
      <c r="N344" s="59">
        <f t="shared" si="861"/>
        <v>11</v>
      </c>
      <c r="O344" s="60">
        <v>8.0</v>
      </c>
      <c r="P344" s="60">
        <v>3.0</v>
      </c>
      <c r="Q344" s="61">
        <v>0.71</v>
      </c>
      <c r="R344" s="59" t="str">
        <f t="shared" si="862"/>
        <v/>
      </c>
      <c r="S344" s="60"/>
      <c r="T344" s="60"/>
      <c r="U344" s="61">
        <v>0.0</v>
      </c>
      <c r="V344" s="104">
        <f t="shared" si="863"/>
        <v>900</v>
      </c>
      <c r="W344" s="64">
        <f t="shared" si="864"/>
        <v>19.56521739</v>
      </c>
      <c r="X344" s="65">
        <f t="shared" si="865"/>
        <v>0.64</v>
      </c>
      <c r="Y344" s="137">
        <f t="shared" si="866"/>
        <v>15.31159382</v>
      </c>
      <c r="Z344" s="64" t="str">
        <f t="shared" si="867"/>
        <v>#REF!</v>
      </c>
      <c r="AA344" s="60">
        <f t="shared" si="868"/>
        <v>46</v>
      </c>
      <c r="AB344" s="66">
        <f t="shared" si="869"/>
        <v>28.2</v>
      </c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</row>
    <row r="345" ht="15.75" customHeight="1">
      <c r="A345" s="57"/>
      <c r="B345" s="101" t="str">
        <f t="shared" ref="B345:C345" si="870">IF(B308="","",B308)</f>
        <v>Легкая</v>
      </c>
      <c r="C345" s="143" t="str">
        <f t="shared" si="870"/>
        <v>Отведение ноги назад</v>
      </c>
      <c r="D345" s="46">
        <f t="shared" si="858"/>
        <v>0.3</v>
      </c>
      <c r="E345" s="144">
        <f t="shared" si="840"/>
        <v>4</v>
      </c>
      <c r="F345" s="105">
        <f t="shared" si="859"/>
        <v>2.3</v>
      </c>
      <c r="G345" s="106">
        <v>12.0</v>
      </c>
      <c r="H345" s="106">
        <v>2.0</v>
      </c>
      <c r="I345" s="107">
        <v>0.42</v>
      </c>
      <c r="J345" s="105" t="str">
        <f t="shared" si="860"/>
        <v/>
      </c>
      <c r="K345" s="106"/>
      <c r="L345" s="106"/>
      <c r="M345" s="107">
        <v>0.0</v>
      </c>
      <c r="N345" s="105" t="str">
        <f t="shared" si="861"/>
        <v/>
      </c>
      <c r="O345" s="106"/>
      <c r="P345" s="106"/>
      <c r="Q345" s="107">
        <v>0.0</v>
      </c>
      <c r="R345" s="105" t="str">
        <f t="shared" si="862"/>
        <v/>
      </c>
      <c r="S345" s="106"/>
      <c r="T345" s="106"/>
      <c r="U345" s="107">
        <v>0.0</v>
      </c>
      <c r="V345" s="108">
        <f t="shared" si="863"/>
        <v>220.8</v>
      </c>
      <c r="W345" s="109">
        <f t="shared" si="864"/>
        <v>9.2</v>
      </c>
      <c r="X345" s="110">
        <f t="shared" si="865"/>
        <v>0.42</v>
      </c>
      <c r="Y345" s="137">
        <f t="shared" si="866"/>
        <v>5.468426363</v>
      </c>
      <c r="Z345" s="109" t="str">
        <f t="shared" si="867"/>
        <v>#REF!</v>
      </c>
      <c r="AA345" s="106">
        <f t="shared" si="868"/>
        <v>24</v>
      </c>
      <c r="AB345" s="111">
        <f t="shared" si="869"/>
        <v>1.5</v>
      </c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</row>
    <row r="346" ht="15.75" customHeight="1">
      <c r="A346" s="57"/>
      <c r="B346" s="101" t="s">
        <v>18</v>
      </c>
      <c r="C346" s="143" t="str">
        <f t="shared" ref="C346:C347" si="871">IF(C309="","",C309)</f>
        <v>Тяга верхнего блока</v>
      </c>
      <c r="D346" s="46">
        <f t="shared" si="858"/>
        <v>0.3</v>
      </c>
      <c r="E346" s="144">
        <f t="shared" si="840"/>
        <v>4</v>
      </c>
      <c r="F346" s="59">
        <f t="shared" si="859"/>
        <v>3.5</v>
      </c>
      <c r="G346" s="60">
        <v>12.0</v>
      </c>
      <c r="H346" s="60">
        <v>1.0</v>
      </c>
      <c r="I346" s="61">
        <v>0.4</v>
      </c>
      <c r="J346" s="59">
        <f t="shared" si="860"/>
        <v>4.5</v>
      </c>
      <c r="K346" s="60">
        <v>10.0</v>
      </c>
      <c r="L346" s="60">
        <v>4.0</v>
      </c>
      <c r="M346" s="61">
        <v>0.52</v>
      </c>
      <c r="N346" s="59" t="str">
        <f t="shared" si="861"/>
        <v/>
      </c>
      <c r="O346" s="60"/>
      <c r="P346" s="60"/>
      <c r="Q346" s="61">
        <v>0.0</v>
      </c>
      <c r="R346" s="59" t="str">
        <f t="shared" si="862"/>
        <v/>
      </c>
      <c r="S346" s="60"/>
      <c r="T346" s="60"/>
      <c r="U346" s="61">
        <v>0.0</v>
      </c>
      <c r="V346" s="104">
        <f t="shared" si="863"/>
        <v>888</v>
      </c>
      <c r="W346" s="64">
        <f t="shared" si="864"/>
        <v>17.07692308</v>
      </c>
      <c r="X346" s="65">
        <f t="shared" si="865"/>
        <v>0.49</v>
      </c>
      <c r="Y346" s="137">
        <f t="shared" si="866"/>
        <v>8.749482181</v>
      </c>
      <c r="Z346" s="64" t="str">
        <f t="shared" si="867"/>
        <v>#REF!</v>
      </c>
      <c r="AA346" s="60">
        <f t="shared" si="868"/>
        <v>52</v>
      </c>
      <c r="AB346" s="66">
        <f t="shared" si="869"/>
        <v>5.55</v>
      </c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</row>
    <row r="347" ht="15.75" customHeight="1">
      <c r="A347" s="57"/>
      <c r="B347" s="101" t="s">
        <v>23</v>
      </c>
      <c r="C347" s="143" t="str">
        <f t="shared" si="871"/>
        <v>Тяга горизонтального блока</v>
      </c>
      <c r="D347" s="46">
        <f t="shared" si="858"/>
        <v>0.3</v>
      </c>
      <c r="E347" s="144">
        <f t="shared" si="840"/>
        <v>4</v>
      </c>
      <c r="F347" s="105">
        <f t="shared" si="859"/>
        <v>4.9</v>
      </c>
      <c r="G347" s="106">
        <v>12.0</v>
      </c>
      <c r="H347" s="106">
        <v>1.0</v>
      </c>
      <c r="I347" s="107">
        <v>0.5</v>
      </c>
      <c r="J347" s="105">
        <f t="shared" si="860"/>
        <v>5.9</v>
      </c>
      <c r="K347" s="106">
        <v>10.0</v>
      </c>
      <c r="L347" s="106">
        <v>1.0</v>
      </c>
      <c r="M347" s="107">
        <v>0.6</v>
      </c>
      <c r="N347" s="105">
        <f t="shared" si="861"/>
        <v>6.5</v>
      </c>
      <c r="O347" s="106">
        <v>8.0</v>
      </c>
      <c r="P347" s="106">
        <v>4.0</v>
      </c>
      <c r="Q347" s="107">
        <v>0.66</v>
      </c>
      <c r="R347" s="105" t="str">
        <f t="shared" si="862"/>
        <v/>
      </c>
      <c r="S347" s="106"/>
      <c r="T347" s="106"/>
      <c r="U347" s="107">
        <v>0.0</v>
      </c>
      <c r="V347" s="108">
        <f t="shared" si="863"/>
        <v>1303.2</v>
      </c>
      <c r="W347" s="109">
        <f t="shared" si="864"/>
        <v>24.13333333</v>
      </c>
      <c r="X347" s="117">
        <f t="shared" si="865"/>
        <v>0.61</v>
      </c>
      <c r="Y347" s="137">
        <f t="shared" si="866"/>
        <v>9.843167454</v>
      </c>
      <c r="Z347" s="109" t="str">
        <f t="shared" si="867"/>
        <v>#REF!</v>
      </c>
      <c r="AA347" s="106">
        <f t="shared" si="868"/>
        <v>54</v>
      </c>
      <c r="AB347" s="111">
        <f t="shared" si="869"/>
        <v>8.55</v>
      </c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</row>
    <row r="348" ht="15.75" customHeight="1">
      <c r="A348" s="57"/>
      <c r="B348" s="101" t="str">
        <f t="shared" ref="B348:C348" si="872">IF(B311="","",B311)</f>
        <v>Средняя</v>
      </c>
      <c r="C348" s="143" t="str">
        <f t="shared" si="872"/>
        <v>Разведения в тренажёре на заднюю дельту</v>
      </c>
      <c r="D348" s="46">
        <f t="shared" si="858"/>
        <v>0.3</v>
      </c>
      <c r="E348" s="144">
        <f t="shared" si="840"/>
        <v>4</v>
      </c>
      <c r="F348" s="59">
        <f t="shared" si="859"/>
        <v>2</v>
      </c>
      <c r="G348" s="60">
        <v>12.0</v>
      </c>
      <c r="H348" s="60">
        <v>1.0</v>
      </c>
      <c r="I348" s="61">
        <v>0.45</v>
      </c>
      <c r="J348" s="59">
        <f t="shared" si="860"/>
        <v>2.5</v>
      </c>
      <c r="K348" s="60">
        <v>10.0</v>
      </c>
      <c r="L348" s="60">
        <v>3.0</v>
      </c>
      <c r="M348" s="61">
        <v>0.58</v>
      </c>
      <c r="N348" s="59" t="str">
        <f t="shared" si="861"/>
        <v/>
      </c>
      <c r="O348" s="60"/>
      <c r="P348" s="60"/>
      <c r="Q348" s="61">
        <v>0.0</v>
      </c>
      <c r="R348" s="59" t="str">
        <f t="shared" si="862"/>
        <v/>
      </c>
      <c r="S348" s="60"/>
      <c r="T348" s="60"/>
      <c r="U348" s="61">
        <v>0.0</v>
      </c>
      <c r="V348" s="104">
        <f t="shared" si="863"/>
        <v>396</v>
      </c>
      <c r="W348" s="64">
        <f t="shared" si="864"/>
        <v>9.428571429</v>
      </c>
      <c r="X348" s="65">
        <f t="shared" si="865"/>
        <v>0.54</v>
      </c>
      <c r="Y348" s="137">
        <f t="shared" si="866"/>
        <v>4.374741091</v>
      </c>
      <c r="Z348" s="64" t="str">
        <f t="shared" si="867"/>
        <v>#REF!</v>
      </c>
      <c r="AA348" s="60">
        <f t="shared" si="868"/>
        <v>42</v>
      </c>
      <c r="AB348" s="66">
        <f t="shared" si="869"/>
        <v>5.25</v>
      </c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</row>
    <row r="349" ht="15.75" customHeight="1">
      <c r="A349" s="72"/>
      <c r="B349" s="119" t="str">
        <f t="shared" ref="B349:C349" si="873">IF(B312="","",B312)</f>
        <v/>
      </c>
      <c r="C349" s="146" t="str">
        <f t="shared" si="873"/>
        <v>Сгибания рук с гантелями</v>
      </c>
      <c r="D349" s="75">
        <f>ROUND(IFERROR((D343*(G343*H343+K343*L343+O343*P343+S343*T343)+D344*(G344*H344+K344*L344+O344*P344+S344*T344)+D345*(G345*H345+K345*L345+O345*P345+S345*T345)+D346*(G346*H346+K346*L346+O346*P346+S346*T346)+D347*(G347*H347+K347*L347+O347*P347+S347*T347)+D348*(G348*H348+K348*L348+O348*P348+S348*T348))/((G343*H343+K343*L343+O343*P343+S343*T343)+(G344*H344+K344*L344+O344*P344+S344*T344)+(G345*H345+K345*L345+O345*P345+S345*T345)+(G346*H346+K346*L346+O346*P346+S346*T346)+(G347*H347+K347*L347+O347*P347+S347*T347)+(G348*H348+K348*L348+O348*P348+S348*T348)),0),2)</f>
        <v>0.58</v>
      </c>
      <c r="E349" s="121" t="str">
        <f t="shared" si="840"/>
        <v/>
      </c>
      <c r="F349" s="122"/>
      <c r="G349" s="123"/>
      <c r="H349" s="123"/>
      <c r="I349" s="124"/>
      <c r="J349" s="122"/>
      <c r="K349" s="123"/>
      <c r="L349" s="123"/>
      <c r="M349" s="124"/>
      <c r="N349" s="122"/>
      <c r="O349" s="123"/>
      <c r="P349" s="123"/>
      <c r="Q349" s="124"/>
      <c r="R349" s="122"/>
      <c r="S349" s="123"/>
      <c r="T349" s="123"/>
      <c r="U349" s="124"/>
      <c r="V349" s="125">
        <f>SUM(V343:V348)</f>
        <v>6063</v>
      </c>
      <c r="W349" s="82">
        <f>IFERROR(V349/AA349,0)</f>
        <v>20.97923875</v>
      </c>
      <c r="X349" s="83">
        <f>ROUND(IFERROR(((I343*G343*H343+M343*K343*L343+Q343*O343*P343+U343*S343*T343)+(I344*G344*H344+M344*K344*L344+Q344*O344*P344+U344*S344*T344)+(I345*G345*H345+M345*K345*L345+Q345*O345*P345+U345*S345*T345)+(I346*G346*H346+M346*K346*L346+Q346*O346*P346+U346*S346*T346)+(I347*G347*H347+M347*K347*L347+Q347*O347*P347+U347*S347*T347)+(I348*G348*H348+M348*K348*L348+Q348*O348*P348+U348*S348*T348))/((G343*H343+K343*L343+O343*P343+S343*T343)+(G344*H344+K344*L344+O344*P344+S344*T344)+(G345*H345+K345*L345+O345*P345+S345*T345)+(G346*H346+K346*L346+O346*P346+S346*T346)+(G347*H347+K347*L347+O347*P347+S347*T347)+(G348*H348+K348*L348+O348*P348+S348*T348)),0),3)</f>
        <v>0.554</v>
      </c>
      <c r="Y349" s="84"/>
      <c r="Z349" s="82" t="str">
        <f t="shared" ref="Z349:AA349" si="874">SUM(Z343:Z348)</f>
        <v>#REF!</v>
      </c>
      <c r="AA349" s="85">
        <f t="shared" si="874"/>
        <v>289</v>
      </c>
      <c r="AB349" s="86">
        <f>IF(SUM(AB343:AB348)=0,TIME(,0,),TIME(,SUM(AB343:AB348)+30,))</f>
        <v>0.07222222222</v>
      </c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</row>
    <row r="350" ht="15.75" customHeight="1">
      <c r="A350" s="126" t="s">
        <v>36</v>
      </c>
      <c r="B350" s="127" t="s">
        <v>23</v>
      </c>
      <c r="C350" s="176" t="str">
        <f>IF(C313="","",C313)</f>
        <v>Ягодичный мост</v>
      </c>
      <c r="D350" s="29">
        <f t="shared" ref="D350:D355" si="876">D313</f>
        <v>1.3</v>
      </c>
      <c r="E350" s="129" t="str">
        <f t="shared" si="840"/>
        <v/>
      </c>
      <c r="F350" s="31">
        <f t="shared" ref="F350:F355" si="877">IF(I350&lt;&gt;0,(IFERROR(IF($Y350&gt;50,MROUND($Y350*I350,2.5),IF($Y350&lt;15,MROUND($Y350*I350,0.1),MROUND($Y350*I350,1))),)),"")</f>
        <v>50</v>
      </c>
      <c r="G350" s="32">
        <v>12.0</v>
      </c>
      <c r="H350" s="32">
        <v>1.0</v>
      </c>
      <c r="I350" s="33">
        <v>0.45</v>
      </c>
      <c r="J350" s="31">
        <f t="shared" ref="J350:J355" si="878">IF(M350&lt;&gt;0,(IFERROR(IF($Y350&gt;50,MROUND($Y350*M350,2.5),IF($Y350&lt;15,MROUND($Y350*M350,0.1),MROUND($Y350*M350,1))),)),"")</f>
        <v>60</v>
      </c>
      <c r="K350" s="32">
        <v>10.0</v>
      </c>
      <c r="L350" s="32">
        <v>1.0</v>
      </c>
      <c r="M350" s="33">
        <v>0.55</v>
      </c>
      <c r="N350" s="31">
        <f t="shared" ref="N350:N355" si="879">IF(Q350&lt;&gt;0,(IFERROR(IF($Y350&gt;50,MROUND($Y350*Q350,2.5),IF($Y350&lt;15,MROUND($Y350*Q350,0.1),MROUND($Y350*Q350,1))),)),"")</f>
        <v>70</v>
      </c>
      <c r="O350" s="32">
        <v>8.0</v>
      </c>
      <c r="P350" s="32">
        <v>4.0</v>
      </c>
      <c r="Q350" s="33">
        <v>0.63</v>
      </c>
      <c r="R350" s="31" t="str">
        <f t="shared" ref="R350:R355" si="880">IF(U350&lt;&gt;0,(IFERROR(IF($Y350&gt;50,MROUND($Y350*U350,2.5),IF($Y350&lt;15,MROUND($Y350*U350,0.1),MROUND($Y350*U350,1))),)),"")</f>
        <v/>
      </c>
      <c r="S350" s="32"/>
      <c r="T350" s="32"/>
      <c r="U350" s="33">
        <v>0.0</v>
      </c>
      <c r="V350" s="130">
        <f t="shared" ref="V350:V355" si="881">(IF(ISNUMBER(F350),F350,1)*G350*H350+IF(ISNUMBER(J350),J350,1)*K350*L350+IF(ISNUMBER(N350),N350,1)*O350*P350+IF(ISNUMBER(R350),R350,1)*S350*T350)*IF(ISNUMBER(E350),E350,1)</f>
        <v>3440</v>
      </c>
      <c r="W350" s="36">
        <f t="shared" ref="W350:W355" si="882">IFERROR((IF(ISNUMBER(F350),F350,1)*G350*H350+IF(ISNUMBER(J350),J350,1)*K350*L350+IF(ISNUMBER(N350),N350,1)*O350*P350+IF(ISNUMBER(R350),R350,1)*S350*T350)*IF(ISNUMBER(E350),E350,1)/(G350*H350+K350*L350+O350*P350+S350*T350),0)</f>
        <v>63.7037037</v>
      </c>
      <c r="X350" s="34">
        <f t="shared" ref="X350:X355" si="883">ROUND(IFERROR((W350/(Y350*IF(ISNUMBER(E350),E350,1))),0),2)</f>
        <v>0.58</v>
      </c>
      <c r="Y350" s="37">
        <f t="shared" ref="Y350:Y355" si="884">IF(ISNUMBER(Y313), Y313+(Y313*$Y$334),"")</f>
        <v>109.3685273</v>
      </c>
      <c r="Z350" s="36" t="str">
        <f t="shared" ref="Z350:Z355" si="885">(IF(I350&lt;30%,0,IF(I350&lt;35%,F350*G350*H350*F!$B$33,IF(I350&lt;40%,F350*G350*H350*F!$B$38,IF(I350&lt;45%,F350*G350*H350*F!$B$43,IF(I350&lt;50%,F350*G350*H350*F!$B$48,IF(I350=50%,F350*G350*H350*F!$B$50,IF(I350=51%,F350*G350*H350*F!$B$51,IF(I350=52%,F350*G350*H350*F!$B$52,IF(I350=53%,F350*G350*H350*F!$B$53,IF(I350=54%,F350*G350*H350*F!$B$54,IF(I350=55%,F350*G350*H350*F!$B$55,IF(I350=56%,F350*G350*H350*F!$B$56,IF(I350=57%,F350*G350*H350*F!$B$57,IF(I350=58%,F350*G350*H350*F!$B$58,IF(I350=59%,F350*G350*H350*F!$B$59,IF(I350=60%,F350*G350*H350*F!$B$60,IF(I350=61%,F350*G350*H350*F!$B$61,IF(I350=62%,F350*G350*H350*F!$B$62,IF(I350=63%,F350*G350*H350*F!$B$63,IF(I350=64%,F350*G350*H350*F!$B$64,IF(I350=65%,F350*G350*H350*F!$B$65,IF(I350=66%,F350*G350*H350*F!$B$66,IF(I350=67%,F350*G350*H350*F!$B$67,IF(I350=68%,F350*G350*H350*F!$B$68,IF(I350=69%,F350*G350*H350*F!$B$69,IF(I350=70%,F350*G350*H350*F!$B$70,IF(I350=71%,F350*G350*H350*F!$B$71,IF(I350=72%,F350*G350*H350*F!$B$72,IF(I350=73%,F350*G350*H350*F!$B$73,IF(I350=74%,F350*G350*H350*F!$B$74,IF(I350=75%,F350*G350*H350*F!$B$75,IF(I350=76%,F350*G350*H350*F!$B$76,IF(I350=77%,F350*G350*H350*F!$B$77,IF(I350=78%,F350*G350*H350*F!$B$78,IF(I350=79%,F350*G350*H350*F!$B$79,IF(I350=80%,F350*G350*H350*F!$B$80,IF(I350=81%,F350*G350*H350*F!$B$81,IF(I350=82%,F350*G350*H350*F!$B$82,IF(I350=83%,F350*G350*H350*F!$B$83,IF(I350=84%,F350*G350*H350*F!$B$84,IF(I350=85%,F350*G350*H350*F!$B$85,IF(I350=86%,F350*G350*H350*F!$B$86,IF(I350=87%,F350*G350*H350*F!$B$87,IF(I350=88%,F350*G350*H350*F!$B$88,IF(I350=89%,F350*G350*H350*F!$B$89,IF(I350=90%,F350*G350*H350*F!$B$90,IF(I350=91%,F350*G350*H350*F!$B$91,IF(I350=92%,F350*G350*H350*F!$B$92,IF(I350=93%,F350*G350*H350*F!$B$93,IF(I350=94%,F350*G350*H350*F!$B$94,IF(I350=95%,F350*G350*H350*F!$B$95,IF(I350=96%,F350*G350*H350*F!$B$96,IF(I350=97%,F350*G350*H350*F!$B$97,IF(I350=98%,F350*G350*H350*F!$B$98,IF(I350=99%,F350*G350*H350*F!$B$99,IF(I350&gt;99%,F350*G350*H350*F!$B$100,))))))))))))))))))))))))))))))))))))))))))))))))))))))))+IF(M350&lt;30%,0,IF(M350&lt;35%,J350*K350*L350*F!$B$33,IF(M350&lt;40%,J350*K350*L350*F!$B$38,IF(M350&lt;45%,J350*K350*L350*F!$B$43,IF(M350&lt;50%,J350*K350*L350*F!$B$48,IF(M350=50%,J350*K350*L350*F!$B$50,IF(M350=51%,J350*K350*L350*F!$B$51,IF(M350=52%,J350*K350*L350*F!$B$52,IF(M350=53%,J350*K350*L350*F!$B$53,IF(M350=54%,J350*K350*L350*F!$B$54,IF(M350=55%,J350*K350*L350*F!$B$55,IF(M350=56%,J350*K350*L350*F!$B$56,IF(M350=57%,J350*K350*L350*F!$B$57,IF(M350=58%,J350*K350*L350*F!$B$58,IF(M350=59%,J350*K350*L350*F!$B$59,IF(M350=60%,J350*K350*L350*F!$B$60,IF(M350=61%,J350*K350*L350*F!$B$61,IF(M350=62%,J350*K350*L350*F!$B$62,IF(M350=63%,J350*K350*L350*F!$B$63,IF(M350=64%,J350*K350*L350*F!$B$64,IF(M350=65%,J350*K350*L350*F!$B$65,IF(M350=66%,J350*K350*L350*F!$B$66,IF(M350=67%,J350*K350*L350*F!$B$67,IF(M350=68%,J350*K350*L350*F!$B$68,IF(M350=69%,J350*K350*L350*F!$B$69,IF(M350=70%,J350*K350*L350*F!$B$70,IF(M350=71%,J350*K350*L350*F!$B$71,IF(M350=72%,J350*K350*L350*F!$B$72,IF(M350=73%,J350*K350*L350*F!$B$73,IF(M350=74%,J350*K350*L350*F!$B$74,IF(M350=75%,J350*K350*L350*F!$B$75,IF(M350=76%,J350*K350*L350*F!$B$76,IF(M350=77%,J350*K350*L350*F!$B$77,IF(M350=78%,J350*K350*L350*F!$B$78,IF(M350=79%,J350*K350*L350*F!$B$79,IF(M350=80%,J350*K350*L350*F!$B$80,IF(M350=81%,J350*K350*L350*F!$B$81,IF(M350=82%,J350*K350*L350*F!$B$82,IF(M350=83%,J350*K350*L350*F!$B$83,IF(M350=84%,J350*K350*L350*F!$B$84,IF(M350=85%,J350*K350*L350*F!$B$85,IF(M350=86%,J350*K350*L350*F!$B$86,IF(M350=87%,J350*K350*L350*F!$B$87,IF(M350=88%,J350*K350*L350*F!$B$88,IF(M350=89%,J350*K350*L350*F!$B$89,IF(M350=90%,J350*K350*L350*F!$B$90,IF(M350=91%,J350*K350*L350*F!$B$91,IF(M350=92%,J350*K350*L350*F!$B$92,IF(M350=93%,J350*K350*L350*F!$B$93,IF(M350=94%,J350*K350*L350*F!$B$94,IF(M350=95%,J350*K350*L350*F!$B$95,IF(M350=96%,J350*K350*L350*F!$B$96,IF(M350=97%,J350*K350*L350*F!$B$97,IF(M350=98%,J350*K350*L350*F!$B$98,IF(M350=99%,J350*K350*L350*F!$B$99,IF(M350&gt;99%,J350*K350*L350*F!$B$100,))))))))))))))))))))))))))))))))))))))))))))))))))))))))+IF(Q350&lt;30%,0,IF(Q350&lt;35%,N350*O350*P350*F!$B$33,IF(Q350&lt;40%,N350*O350*P350*F!$B$38,IF(Q350&lt;45%,N350*O350*P350*F!$B$43,IF(Q350&lt;50%,N350*O350*P350*F!$B$48,IF(Q350=50%,N350*O350*P350*F!$B$50,IF(Q350=51%,N350*O350*P350*F!$B$51,IF(Q350=52%,N350*O350*P350*F!$B$52,IF(Q350=53%,N350*O350*P350*F!$B$53,IF(Q350=54%,N350*O350*P350*F!$B$54,IF(Q350=55%,N350*O350*P350*F!$B$55,IF(Q350=56%,N350*O350*P350*F!$B$56,IF(Q350=57%,N350*O350*P350*F!$B$57,IF(Q350=58%,N350*O350*P350*F!$B$58,IF(Q350=59%,N350*O350*P350*F!$B$59,IF(Q350=60%,N350*O350*P350*F!$B$60,IF(Q350=61%,N350*O350*P350*F!$B$61,IF(Q350=62%,N350*O350*P350*F!$B$62,IF(Q350=63%,N350*O350*P350*F!$B$63,IF(Q350=64%,N350*O350*P350*F!$B$64,IF(Q350=65%,N350*O350*P350*F!$B$65,IF(Q350=66%,N350*O350*P350*F!$B$66,IF(Q350=67%,N350*O350*P350*F!$B$67,IF(Q350=68%,N350*O350*P350*F!$B$68,IF(Q350=69%,N350*O350*P350*F!$B$69,IF(Q350=70%,N350*O350*P350*F!$B$70,IF(Q350=71%,N350*O350*P350*F!$B$71,IF(Q350=72%,N350*O350*P350*F!$B$72,IF(Q350=73%,N350*O350*P350*F!$B$73,IF(Q350=74%,N350*O350*P350*F!$B$74,IF(Q350=75%,N350*O350*P350*F!$B$75,IF(Q350=76%,N350*O350*P350*F!$B$76,IF(Q350=77%,N350*O350*P350*F!$B$77,IF(Q350=78%,N350*O350*P350*F!$B$78,IF(Q350=79%,N350*O350*P350*F!$B$79,IF(Q350=80%,N350*O350*P350*F!$B$80,IF(Q350=81%,N350*O350*P350*F!$B$81,IF(Q350=82%,N350*O350*P350*F!$B$82,IF(Q350=83%,N350*O350*P350*F!$B$83,IF(Q350=84%,N350*O350*P350*F!$B$84,IF(Q350=85%,N350*O350*P350*F!$B$85,IF(Q350=86%,N350*O350*P350*F!$B$86,IF(Q350=87%,N350*O350*P350*F!$B$87,IF(Q350=88%,N350*O350*P350*F!$B$88,IF(Q350=89%,N350*O350*P350*F!$B$89,IF(Q350=90%,N350*O350*P350*F!$B$90,IF(Q350=91%,N350*O350*P350*F!$B$91,IF(Q350=92%,N350*O350*P350*F!$B$92,IF(Q350=93%,N350*O350*P350*F!$B$93,IF(Q350=94%,N350*O350*P350*F!$B$94,IF(Q350=95%,N350*O350*P350*F!$B$95,IF(Q350=96%,N350*O350*P350*F!$B$96,IF(Q350=97%,N350*O350*P350*F!$B$97,IF(Q350=98%,N350*O350*P350*F!$B$98,IF(Q350=99%,N350*O350*P350*F!$B$99,IF(Q350&gt;99%,N350*O350*P350*F!$B$100,))))))))))))))))))))))))))))))))))))))))))))))))))))))))+IF(U350&lt;30%,0,IF(U350&lt;35%,R350*S350*T350*F!$B$33,IF(U350&lt;40%,R350*S350*T350*F!$B$38,IF(U350&lt;45%,R350*S350*T350*F!$B$43,IF(U350&lt;50%,R350*S350*T350*F!$B$48,IF(U350=50%,R350*S350*T350*F!$B$50,IF(U350=51%,R350*S350*T350*F!$B$51,IF(U350=52%,R350*S350*T350*F!$B$52,IF(U350=53%,R350*S350*T350*F!$B$53,IF(U350=54%,R350*S350*T350*F!$B$54,IF(U350=55%,R350*S350*T350*F!$B$55,IF(U350=56%,R350*S350*T350*F!$B$56,IF(U350=57%,R350*S350*T350*F!$B$57,IF(U350=58%,R350*S350*T350*F!$B$58,IF(U350=59%,R350*S350*T350*F!$B$59,IF(U350=60%,R350*S350*T350*F!$B$60,IF(U350=61%,R350*S350*T350*F!$B$61,IF(U350=62%,R350*S350*T350*F!$B$62,IF(U350=63%,R350*S350*T350*F!$B$63,IF(U350=64%,R350*S350*T350*F!$B$64,IF(U350=65%,R350*S350*T350*F!$B$65,IF(U350=66%,R350*S350*T350*F!$B$66,IF(U350=67%,R350*S350*T350*F!$B$67,IF(U350=68%,R350*S350*T350*F!$B$68,IF(U350=69%,R350*S350*T350*F!$B$69,IF(U350=70%,R350*S350*T350*F!$B$70,IF(U350=71%,R350*S350*T350*F!$B$71,IF(U350=72%,R350*S350*T350*F!$B$72,IF(U350=73%,R350*S350*T350*F!$B$73,IF(U350=74%,R350*S350*T350*F!$B$74,IF(U350=75%,R350*S350*T350*F!$B$75,IF(U350=76%,R350*S350*T350*F!$B$76,IF(U350=77%,R350*S350*T350*F!$B$77,IF(U350=78%,R350*S350*T350*F!$B$78,IF(U350=79%,R350*S350*T350*F!$B$79,IF(U350=80%,R350*S350*T350*F!$B$80,IF(U350=81%,R350*S350*T350*F!$B$81,IF(U350=82%,R350*S350*T350*F!$B$82,IF(U350=83%,R350*S350*T350*F!$B$83,IF(U350=84%,R350*S350*T350*F!$B$84,IF(U350=85%,R350*S350*T350*F!$B$85,IF(U350=86%,R350*S350*T350*F!$B$86,IF(U350=87%,R350*S350*T350*F!$B$87,IF(U350=88%,R350*S350*T350*F!$B$88,IF(U350=89%,R350*S350*T350*F!$B$89,IF(U350=90%,R350*S350*T350*F!$B$90,IF(U350=91%,R350*S350*T350*F!$B$91,IF(U350=92%,R350*S350*T350*F!$B$92,IF(U350=93%,R350*S350*T350*F!$B$93,IF(U350=94%,R350*S350*T350*F!$B$94,IF(U350=95%,R350*S350*T350*F!$B$95,IF(U350=96%,R350*S350*T350*F!$B$96,IF(U350=97%,R350*S350*T350*F!$B$97,IF(U350=98%,R350*S350*T350*F!$B$98,IF(U350=99%,R350*S350*T350*F!$B$99,IF(U350&gt;99%,R350*S350*T350*F!$B$100)))))))))))))))))))))))))))))))))))))))))))))))))))))))))*IF(ISNUMBER(E350),E350,1)*IF(ISNUMBER(D350),D350,1)</f>
        <v>#REF!</v>
      </c>
      <c r="AA350" s="32">
        <f t="shared" ref="AA350:AA355" si="886">G350*H350+K350*L350+O350*P350+S350*T350</f>
        <v>54</v>
      </c>
      <c r="AB350" s="38">
        <f t="shared" ref="AB350:AB355" si="887">(H350*(IF(I350&lt;45%,0.5,IF(I350&lt;55%,0.8,IF(I350&lt;65%,0.9,IF(I350&lt;75%,1,IF(I350&lt;85%,1.1,1.2))))))+L350*(IF(M350&lt;45%,0.5,IF(M350&lt;55%,0.8,IF(M350&lt;65%,0.9,IF(M350&lt;75%,1,IF(M350&lt;85%,1.1,1.2))))))+P350*(IF(Q350&lt;45%,0.5,IF(Q350&lt;55%,0.8,IF(Q350&lt;65%,0.9,IF(Q350&lt;75%,1,IF(Q350&lt;85%,1.1,1.2))))))+T350*(IF(U350&lt;45%,0.5,IF(U350&lt;55%,0.8,IF(U350&lt;65%,0.9,IF(U350&lt;75%,1,IF(U350&lt;85%,1.1,1.2)))))))*IF(D350&gt;=0.8,6,IF(D350&lt;=0.4,1.5,3))</f>
        <v>31.8</v>
      </c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</row>
    <row r="351" ht="15.0" customHeight="1">
      <c r="A351" s="43">
        <f>A344+2</f>
        <v>42398</v>
      </c>
      <c r="B351" s="131" t="str">
        <f t="shared" ref="B351:C351" si="875">IF(B314="","",B314)</f>
        <v>Легкая</v>
      </c>
      <c r="C351" s="177" t="str">
        <f t="shared" si="875"/>
        <v>Зашагивания на платформу</v>
      </c>
      <c r="D351" s="46">
        <f t="shared" si="876"/>
        <v>1</v>
      </c>
      <c r="E351" s="133" t="str">
        <f t="shared" si="840"/>
        <v/>
      </c>
      <c r="F351" s="48">
        <f t="shared" si="877"/>
        <v>0</v>
      </c>
      <c r="G351" s="49">
        <v>12.0</v>
      </c>
      <c r="H351" s="49">
        <v>5.0</v>
      </c>
      <c r="I351" s="50">
        <v>0.3</v>
      </c>
      <c r="J351" s="48" t="str">
        <f t="shared" si="878"/>
        <v/>
      </c>
      <c r="K351" s="49"/>
      <c r="L351" s="49"/>
      <c r="M351" s="50">
        <v>0.0</v>
      </c>
      <c r="N351" s="48" t="str">
        <f t="shared" si="879"/>
        <v/>
      </c>
      <c r="O351" s="49"/>
      <c r="P351" s="49"/>
      <c r="Q351" s="50">
        <v>0.0</v>
      </c>
      <c r="R351" s="48" t="str">
        <f t="shared" si="880"/>
        <v/>
      </c>
      <c r="S351" s="49"/>
      <c r="T351" s="49"/>
      <c r="U351" s="50">
        <v>0.0</v>
      </c>
      <c r="V351" s="134">
        <f t="shared" si="881"/>
        <v>0</v>
      </c>
      <c r="W351" s="53">
        <f t="shared" si="882"/>
        <v>0</v>
      </c>
      <c r="X351" s="54">
        <f t="shared" si="883"/>
        <v>0</v>
      </c>
      <c r="Y351" s="137">
        <f t="shared" si="884"/>
        <v>0</v>
      </c>
      <c r="Z351" s="53" t="str">
        <f t="shared" si="885"/>
        <v>#REF!</v>
      </c>
      <c r="AA351" s="49">
        <f t="shared" si="886"/>
        <v>60</v>
      </c>
      <c r="AB351" s="56">
        <f t="shared" si="887"/>
        <v>15</v>
      </c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</row>
    <row r="352" ht="15.75" customHeight="1">
      <c r="A352" s="57"/>
      <c r="B352" s="135" t="s">
        <v>18</v>
      </c>
      <c r="C352" s="177" t="str">
        <f>IF(C315="","",C315)</f>
        <v>Разведение ног</v>
      </c>
      <c r="D352" s="46">
        <f t="shared" si="876"/>
        <v>0.5</v>
      </c>
      <c r="E352" s="133">
        <f t="shared" si="840"/>
        <v>5</v>
      </c>
      <c r="F352" s="59">
        <f t="shared" si="877"/>
        <v>4.9</v>
      </c>
      <c r="G352" s="60">
        <v>12.0</v>
      </c>
      <c r="H352" s="60">
        <v>1.0</v>
      </c>
      <c r="I352" s="61">
        <v>0.45</v>
      </c>
      <c r="J352" s="59">
        <f t="shared" si="878"/>
        <v>6.1</v>
      </c>
      <c r="K352" s="60">
        <v>10.0</v>
      </c>
      <c r="L352" s="60">
        <v>3.0</v>
      </c>
      <c r="M352" s="61">
        <v>0.56</v>
      </c>
      <c r="N352" s="59" t="str">
        <f t="shared" si="879"/>
        <v/>
      </c>
      <c r="O352" s="60"/>
      <c r="P352" s="60"/>
      <c r="Q352" s="61">
        <v>0.0</v>
      </c>
      <c r="R352" s="59" t="str">
        <f t="shared" si="880"/>
        <v/>
      </c>
      <c r="S352" s="60"/>
      <c r="T352" s="60"/>
      <c r="U352" s="61">
        <v>0.0</v>
      </c>
      <c r="V352" s="104">
        <f t="shared" si="881"/>
        <v>1209</v>
      </c>
      <c r="W352" s="64">
        <f t="shared" si="882"/>
        <v>28.78571429</v>
      </c>
      <c r="X352" s="65">
        <f t="shared" si="883"/>
        <v>0.53</v>
      </c>
      <c r="Y352" s="137">
        <f t="shared" si="884"/>
        <v>10.93685273</v>
      </c>
      <c r="Z352" s="64" t="str">
        <f t="shared" si="885"/>
        <v>#REF!</v>
      </c>
      <c r="AA352" s="60">
        <f t="shared" si="886"/>
        <v>42</v>
      </c>
      <c r="AB352" s="66">
        <f t="shared" si="887"/>
        <v>10.5</v>
      </c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</row>
    <row r="353" ht="15.75" customHeight="1">
      <c r="A353" s="57"/>
      <c r="B353" s="135" t="str">
        <f t="shared" ref="B353:C353" si="888">IF(B316="","",B316)</f>
        <v>Тяжелая</v>
      </c>
      <c r="C353" s="177" t="str">
        <f t="shared" si="888"/>
        <v>Жим гантелй лежа</v>
      </c>
      <c r="D353" s="46">
        <f t="shared" si="876"/>
        <v>0.4</v>
      </c>
      <c r="E353" s="133">
        <f t="shared" si="840"/>
        <v>2</v>
      </c>
      <c r="F353" s="48">
        <f t="shared" si="877"/>
        <v>6.8</v>
      </c>
      <c r="G353" s="49">
        <v>10.0</v>
      </c>
      <c r="H353" s="49">
        <v>1.0</v>
      </c>
      <c r="I353" s="50">
        <v>0.52</v>
      </c>
      <c r="J353" s="48">
        <f t="shared" si="878"/>
        <v>8.3</v>
      </c>
      <c r="K353" s="49">
        <v>8.0</v>
      </c>
      <c r="L353" s="49">
        <v>4.0</v>
      </c>
      <c r="M353" s="50">
        <v>0.63</v>
      </c>
      <c r="N353" s="48" t="str">
        <f t="shared" si="879"/>
        <v/>
      </c>
      <c r="O353" s="49"/>
      <c r="P353" s="49"/>
      <c r="Q353" s="50">
        <v>0.0</v>
      </c>
      <c r="R353" s="48" t="str">
        <f t="shared" si="880"/>
        <v/>
      </c>
      <c r="S353" s="49"/>
      <c r="T353" s="49"/>
      <c r="U353" s="50">
        <v>0.0</v>
      </c>
      <c r="V353" s="134">
        <f t="shared" si="881"/>
        <v>667.2</v>
      </c>
      <c r="W353" s="53">
        <f t="shared" si="882"/>
        <v>15.88571429</v>
      </c>
      <c r="X353" s="54">
        <f t="shared" si="883"/>
        <v>0.61</v>
      </c>
      <c r="Y353" s="137">
        <f t="shared" si="884"/>
        <v>13.12422327</v>
      </c>
      <c r="Z353" s="53" t="str">
        <f t="shared" si="885"/>
        <v>#REF!</v>
      </c>
      <c r="AA353" s="49">
        <f t="shared" si="886"/>
        <v>42</v>
      </c>
      <c r="AB353" s="56">
        <f t="shared" si="887"/>
        <v>6.6</v>
      </c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</row>
    <row r="354" ht="15.75" customHeight="1">
      <c r="A354" s="57"/>
      <c r="B354" s="135" t="str">
        <f t="shared" ref="B354:C354" si="889">IF(B317="","",B317)</f>
        <v>Тяжелая</v>
      </c>
      <c r="C354" s="177" t="str">
        <f t="shared" si="889"/>
        <v>Ходьба выпадами</v>
      </c>
      <c r="D354" s="46">
        <f t="shared" si="876"/>
        <v>0.4</v>
      </c>
      <c r="E354" s="133">
        <f t="shared" si="840"/>
        <v>2</v>
      </c>
      <c r="F354" s="59">
        <f t="shared" si="877"/>
        <v>9</v>
      </c>
      <c r="G354" s="60">
        <v>12.0</v>
      </c>
      <c r="H354" s="60">
        <v>1.0</v>
      </c>
      <c r="I354" s="61">
        <v>0.52</v>
      </c>
      <c r="J354" s="59">
        <f t="shared" si="878"/>
        <v>10</v>
      </c>
      <c r="K354" s="60">
        <v>12.0</v>
      </c>
      <c r="L354" s="60">
        <v>3.0</v>
      </c>
      <c r="M354" s="61">
        <v>0.62</v>
      </c>
      <c r="N354" s="59" t="str">
        <f t="shared" si="879"/>
        <v/>
      </c>
      <c r="O354" s="60"/>
      <c r="P354" s="60"/>
      <c r="Q354" s="61">
        <v>0.0</v>
      </c>
      <c r="R354" s="59" t="str">
        <f t="shared" si="880"/>
        <v/>
      </c>
      <c r="S354" s="60"/>
      <c r="T354" s="60"/>
      <c r="U354" s="61">
        <v>0.0</v>
      </c>
      <c r="V354" s="104">
        <f t="shared" si="881"/>
        <v>936</v>
      </c>
      <c r="W354" s="64">
        <f t="shared" si="882"/>
        <v>19.5</v>
      </c>
      <c r="X354" s="62">
        <f t="shared" si="883"/>
        <v>0.59</v>
      </c>
      <c r="Y354" s="137">
        <f t="shared" si="884"/>
        <v>16.40527909</v>
      </c>
      <c r="Z354" s="64" t="str">
        <f t="shared" si="885"/>
        <v>#REF!</v>
      </c>
      <c r="AA354" s="60">
        <f t="shared" si="886"/>
        <v>48</v>
      </c>
      <c r="AB354" s="66">
        <f t="shared" si="887"/>
        <v>5.25</v>
      </c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</row>
    <row r="355" ht="15.75" customHeight="1">
      <c r="A355" s="57"/>
      <c r="B355" s="135" t="s">
        <v>18</v>
      </c>
      <c r="C355" s="177" t="str">
        <f>IF(C318="","",C318)</f>
        <v>Гиперэкстензия на ягодицы</v>
      </c>
      <c r="D355" s="46">
        <f t="shared" si="876"/>
        <v>0.4</v>
      </c>
      <c r="E355" s="133" t="str">
        <f t="shared" si="840"/>
        <v/>
      </c>
      <c r="F355" s="48">
        <f t="shared" si="877"/>
        <v>15</v>
      </c>
      <c r="G355" s="49">
        <v>20.0</v>
      </c>
      <c r="H355" s="49">
        <v>1.0</v>
      </c>
      <c r="I355" s="50">
        <v>0.45</v>
      </c>
      <c r="J355" s="48" t="str">
        <f t="shared" si="878"/>
        <v/>
      </c>
      <c r="K355" s="49"/>
      <c r="L355" s="49"/>
      <c r="M355" s="50">
        <v>0.0</v>
      </c>
      <c r="N355" s="48" t="str">
        <f t="shared" si="879"/>
        <v/>
      </c>
      <c r="O355" s="49"/>
      <c r="P355" s="49"/>
      <c r="Q355" s="50">
        <v>0.0</v>
      </c>
      <c r="R355" s="48" t="str">
        <f t="shared" si="880"/>
        <v/>
      </c>
      <c r="S355" s="49"/>
      <c r="T355" s="49"/>
      <c r="U355" s="50">
        <v>0.0</v>
      </c>
      <c r="V355" s="134">
        <f t="shared" si="881"/>
        <v>300</v>
      </c>
      <c r="W355" s="53">
        <f t="shared" si="882"/>
        <v>15</v>
      </c>
      <c r="X355" s="54">
        <f t="shared" si="883"/>
        <v>0.46</v>
      </c>
      <c r="Y355" s="137">
        <f t="shared" si="884"/>
        <v>32.81055818</v>
      </c>
      <c r="Z355" s="53" t="str">
        <f t="shared" si="885"/>
        <v>#REF!</v>
      </c>
      <c r="AA355" s="49">
        <f t="shared" si="886"/>
        <v>20</v>
      </c>
      <c r="AB355" s="56">
        <f t="shared" si="887"/>
        <v>1.2</v>
      </c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</row>
    <row r="356" ht="15.75" customHeight="1">
      <c r="A356" s="72"/>
      <c r="B356" s="138" t="str">
        <f t="shared" ref="B356:C356" si="890">IF(B319="","",B319)</f>
        <v/>
      </c>
      <c r="C356" s="178" t="str">
        <f t="shared" si="890"/>
        <v>Скручивания (пресс)</v>
      </c>
      <c r="D356" s="75">
        <f>ROUND(IFERROR((D350*(G350*H350+K350*L350+O350*P350+S350*T350)+D351*(G351*H351+K351*L351+O351*P351+S351*T351)+D352*(G352*H352+K352*L352+O352*P352+S352*T352)+D353*(G353*H353+K353*L353+O353*P353+S353*T353)+D354*(G354*H354+K354*L354+O354*P354+S354*T354)+D355*(G355*H355+K355*L355+O355*P355+S355*T355))/((G350*H350+K350*L350+O350*P350+S350*T350)+(G351*H351+K351*L351+O351*P351+S351*T351)+(G352*H352+K352*L352+O352*P352+S352*T352)+(G353*H353+K353*L353+O353*P353+S353*T353)+(G354*H354+K354*L354+O354*P354+S354*T354)+(G355*H355+K355*L355+O355*P355+S355*T355)),0),2)</f>
        <v>0.73</v>
      </c>
      <c r="E356" s="140" t="str">
        <f t="shared" si="840"/>
        <v/>
      </c>
      <c r="F356" s="77"/>
      <c r="G356" s="78"/>
      <c r="H356" s="78"/>
      <c r="I356" s="79"/>
      <c r="J356" s="77"/>
      <c r="K356" s="78"/>
      <c r="L356" s="78"/>
      <c r="M356" s="79"/>
      <c r="N356" s="77"/>
      <c r="O356" s="78"/>
      <c r="P356" s="78"/>
      <c r="Q356" s="79"/>
      <c r="R356" s="77"/>
      <c r="S356" s="78"/>
      <c r="T356" s="78"/>
      <c r="U356" s="79"/>
      <c r="V356" s="125">
        <f>SUM(V350:V355)</f>
        <v>6552.2</v>
      </c>
      <c r="W356" s="82">
        <f>IFERROR(V356/AA356,0)</f>
        <v>24.63233083</v>
      </c>
      <c r="X356" s="83">
        <f>ROUND(IFERROR(((I350*G350*H350+M350*K350*L350+Q350*O350*P350+U350*S350*T350)+(I351*G351*H351+M351*K351*L351+Q351*O351*P351+U351*S351*T351)+(I352*G352*H352+M352*K352*L352+Q352*O352*P352+U352*S352*T352)+(I353*G353*H353+M353*K353*L353+Q353*O353*P353+U353*S353*T353)+(I354*G354*H354+M354*K354*L354+Q354*O354*P354+U354*S354*T354)+(I355*G355*H355+M355*K355*L355+Q355*O355*P355+U355*S355*T355))/((G350*H350+K350*L350+O350*P350+S350*T350)+(G351*H351+K351*L351+O351*P351+S351*T351)+(G352*H352+K352*L352+O352*P352+S352*T352)+(G353*H353+K353*L353+O353*P353+S353*T353)+(G354*H354+K354*L354+O354*P354+S354*T354)+(G355*H355+K355*L355+O355*P355+S355*T355)),0),3)</f>
        <v>0.504</v>
      </c>
      <c r="Y356" s="84"/>
      <c r="Z356" s="82" t="str">
        <f t="shared" ref="Z356:AA356" si="891">SUM(Z350:Z355)</f>
        <v>#REF!</v>
      </c>
      <c r="AA356" s="85">
        <f t="shared" si="891"/>
        <v>266</v>
      </c>
      <c r="AB356" s="86">
        <f>IF(SUM(AB350:AB355)=0,TIME(,0,),TIME(,SUM(AB350:AB355)+30,))</f>
        <v>0.06944444444</v>
      </c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</row>
    <row r="357" ht="15.75" hidden="1" customHeight="1">
      <c r="A357" s="88" t="s">
        <v>44</v>
      </c>
      <c r="B357" s="89" t="str">
        <f t="shared" ref="B357:C357" si="892">IF(B320="","",B320)</f>
        <v/>
      </c>
      <c r="C357" s="141" t="str">
        <f t="shared" si="892"/>
        <v/>
      </c>
      <c r="D357" s="29" t="str">
        <f t="shared" ref="D357:D362" si="894">D320</f>
        <v/>
      </c>
      <c r="E357" s="91" t="str">
        <f t="shared" si="840"/>
        <v/>
      </c>
      <c r="F357" s="92"/>
      <c r="G357" s="93"/>
      <c r="H357" s="93"/>
      <c r="I357" s="94" t="str">
        <f t="shared" ref="I357:I362" si="895">IFERROR(ROUND(F357/$Y357,2),)</f>
        <v/>
      </c>
      <c r="J357" s="92"/>
      <c r="K357" s="93"/>
      <c r="L357" s="93"/>
      <c r="M357" s="94" t="str">
        <f t="shared" ref="M357:M362" si="896">IFERROR(ROUND(J357/$Y357,2),)</f>
        <v/>
      </c>
      <c r="N357" s="92"/>
      <c r="O357" s="93"/>
      <c r="P357" s="93"/>
      <c r="Q357" s="94" t="str">
        <f t="shared" ref="Q357:Q362" si="897">IFERROR(ROUND(N357/$Y357,2),)</f>
        <v/>
      </c>
      <c r="R357" s="92"/>
      <c r="S357" s="93"/>
      <c r="T357" s="93"/>
      <c r="U357" s="94" t="str">
        <f t="shared" ref="U357:U362" si="898">IFERROR(ROUND(R357/$Y357,2),)</f>
        <v/>
      </c>
      <c r="V357" s="95">
        <f t="shared" ref="V357:V362" si="899">(IF(ISNUMBER(F357),F357,1)*G357*H357+IF(ISNUMBER(J357),J357,1)*K357*L357+IF(ISNUMBER(N357),N357,1)*O357*P357+IF(ISNUMBER(R357),R357,1)*S357*T357)*IF(ISNUMBER(E357),E357,1)</f>
        <v>0</v>
      </c>
      <c r="W357" s="96">
        <f t="shared" ref="W357:W362" si="900">IFERROR((IF(ISNUMBER(F357),F357,1)*G357*H357+IF(ISNUMBER(J357),J357,1)*K357*L357+IF(ISNUMBER(N357),N357,1)*O357*P357+IF(ISNUMBER(R357),R357,1)*S357*T357)*IF(ISNUMBER(E357),E357,1)/(G357*H357+K357*L357+O357*P357+S357*T357),0)</f>
        <v>0</v>
      </c>
      <c r="X357" s="97">
        <f t="shared" ref="X357:X362" si="901">ROUND(IFERROR((W357/(Y357*IF(ISNUMBER(E357),E357,1))),0),2)</f>
        <v>0</v>
      </c>
      <c r="Y357" s="37" t="str">
        <f t="shared" ref="Y357:Y362" si="902">IF(ISNUMBER(Y320), Y320+(Y320*$Y$334),"")</f>
        <v/>
      </c>
      <c r="Z357" s="96">
        <f t="shared" ref="Z357:Z362" si="903">(IF(I357&lt;30%,0,IF(I357&lt;35%,F357*G357*H357*F!$B$33,IF(I357&lt;40%,F357*G357*H357*F!$B$38,IF(I357&lt;45%,F357*G357*H357*F!$B$43,IF(I357&lt;50%,F357*G357*H357*F!$B$48,IF(I357=50%,F357*G357*H357*F!$B$50,IF(I357=51%,F357*G357*H357*F!$B$51,IF(I357=52%,F357*G357*H357*F!$B$52,IF(I357=53%,F357*G357*H357*F!$B$53,IF(I357=54%,F357*G357*H357*F!$B$54,IF(I357=55%,F357*G357*H357*F!$B$55,IF(I357=56%,F357*G357*H357*F!$B$56,IF(I357=57%,F357*G357*H357*F!$B$57,IF(I357=58%,F357*G357*H357*F!$B$58,IF(I357=59%,F357*G357*H357*F!$B$59,IF(I357=60%,F357*G357*H357*F!$B$60,IF(I357=61%,F357*G357*H357*F!$B$61,IF(I357=62%,F357*G357*H357*F!$B$62,IF(I357=63%,F357*G357*H357*F!$B$63,IF(I357=64%,F357*G357*H357*F!$B$64,IF(I357=65%,F357*G357*H357*F!$B$65,IF(I357=66%,F357*G357*H357*F!$B$66,IF(I357=67%,F357*G357*H357*F!$B$67,IF(I357=68%,F357*G357*H357*F!$B$68,IF(I357=69%,F357*G357*H357*F!$B$69,IF(I357=70%,F357*G357*H357*F!$B$70,IF(I357=71%,F357*G357*H357*F!$B$71,IF(I357=72%,F357*G357*H357*F!$B$72,IF(I357=73%,F357*G357*H357*F!$B$73,IF(I357=74%,F357*G357*H357*F!$B$74,IF(I357=75%,F357*G357*H357*F!$B$75,IF(I357=76%,F357*G357*H357*F!$B$76,IF(I357=77%,F357*G357*H357*F!$B$77,IF(I357=78%,F357*G357*H357*F!$B$78,IF(I357=79%,F357*G357*H357*F!$B$79,IF(I357=80%,F357*G357*H357*F!$B$80,IF(I357=81%,F357*G357*H357*F!$B$81,IF(I357=82%,F357*G357*H357*F!$B$82,IF(I357=83%,F357*G357*H357*F!$B$83,IF(I357=84%,F357*G357*H357*F!$B$84,IF(I357=85%,F357*G357*H357*F!$B$85,IF(I357=86%,F357*G357*H357*F!$B$86,IF(I357=87%,F357*G357*H357*F!$B$87,IF(I357=88%,F357*G357*H357*F!$B$88,IF(I357=89%,F357*G357*H357*F!$B$89,IF(I357=90%,F357*G357*H357*F!$B$90,IF(I357=91%,F357*G357*H357*F!$B$91,IF(I357=92%,F357*G357*H357*F!$B$92,IF(I357=93%,F357*G357*H357*F!$B$93,IF(I357=94%,F357*G357*H357*F!$B$94,IF(I357=95%,F357*G357*H357*F!$B$95,IF(I357=96%,F357*G357*H357*F!$B$96,IF(I357=97%,F357*G357*H357*F!$B$97,IF(I357=98%,F357*G357*H357*F!$B$98,IF(I357=99%,F357*G357*H357*F!$B$99,IF(I357&gt;99%,F357*G357*H357*F!$B$100,))))))))))))))))))))))))))))))))))))))))))))))))))))))))+IF(M357&lt;30%,0,IF(M357&lt;35%,J357*K357*L357*F!$B$33,IF(M357&lt;40%,J357*K357*L357*F!$B$38,IF(M357&lt;45%,J357*K357*L357*F!$B$43,IF(M357&lt;50%,J357*K357*L357*F!$B$48,IF(M357=50%,J357*K357*L357*F!$B$50,IF(M357=51%,J357*K357*L357*F!$B$51,IF(M357=52%,J357*K357*L357*F!$B$52,IF(M357=53%,J357*K357*L357*F!$B$53,IF(M357=54%,J357*K357*L357*F!$B$54,IF(M357=55%,J357*K357*L357*F!$B$55,IF(M357=56%,J357*K357*L357*F!$B$56,IF(M357=57%,J357*K357*L357*F!$B$57,IF(M357=58%,J357*K357*L357*F!$B$58,IF(M357=59%,J357*K357*L357*F!$B$59,IF(M357=60%,J357*K357*L357*F!$B$60,IF(M357=61%,J357*K357*L357*F!$B$61,IF(M357=62%,J357*K357*L357*F!$B$62,IF(M357=63%,J357*K357*L357*F!$B$63,IF(M357=64%,J357*K357*L357*F!$B$64,IF(M357=65%,J357*K357*L357*F!$B$65,IF(M357=66%,J357*K357*L357*F!$B$66,IF(M357=67%,J357*K357*L357*F!$B$67,IF(M357=68%,J357*K357*L357*F!$B$68,IF(M357=69%,J357*K357*L357*F!$B$69,IF(M357=70%,J357*K357*L357*F!$B$70,IF(M357=71%,J357*K357*L357*F!$B$71,IF(M357=72%,J357*K357*L357*F!$B$72,IF(M357=73%,J357*K357*L357*F!$B$73,IF(M357=74%,J357*K357*L357*F!$B$74,IF(M357=75%,J357*K357*L357*F!$B$75,IF(M357=76%,J357*K357*L357*F!$B$76,IF(M357=77%,J357*K357*L357*F!$B$77,IF(M357=78%,J357*K357*L357*F!$B$78,IF(M357=79%,J357*K357*L357*F!$B$79,IF(M357=80%,J357*K357*L357*F!$B$80,IF(M357=81%,J357*K357*L357*F!$B$81,IF(M357=82%,J357*K357*L357*F!$B$82,IF(M357=83%,J357*K357*L357*F!$B$83,IF(M357=84%,J357*K357*L357*F!$B$84,IF(M357=85%,J357*K357*L357*F!$B$85,IF(M357=86%,J357*K357*L357*F!$B$86,IF(M357=87%,J357*K357*L357*F!$B$87,IF(M357=88%,J357*K357*L357*F!$B$88,IF(M357=89%,J357*K357*L357*F!$B$89,IF(M357=90%,J357*K357*L357*F!$B$90,IF(M357=91%,J357*K357*L357*F!$B$91,IF(M357=92%,J357*K357*L357*F!$B$92,IF(M357=93%,J357*K357*L357*F!$B$93,IF(M357=94%,J357*K357*L357*F!$B$94,IF(M357=95%,J357*K357*L357*F!$B$95,IF(M357=96%,J357*K357*L357*F!$B$96,IF(M357=97%,J357*K357*L357*F!$B$97,IF(M357=98%,J357*K357*L357*F!$B$98,IF(M357=99%,J357*K357*L357*F!$B$99,IF(M357&gt;99%,J357*K357*L357*F!$B$100,))))))))))))))))))))))))))))))))))))))))))))))))))))))))+IF(Q357&lt;30%,0,IF(Q357&lt;35%,N357*O357*P357*F!$B$33,IF(Q357&lt;40%,N357*O357*P357*F!$B$38,IF(Q357&lt;45%,N357*O357*P357*F!$B$43,IF(Q357&lt;50%,N357*O357*P357*F!$B$48,IF(Q357=50%,N357*O357*P357*F!$B$50,IF(Q357=51%,N357*O357*P357*F!$B$51,IF(Q357=52%,N357*O357*P357*F!$B$52,IF(Q357=53%,N357*O357*P357*F!$B$53,IF(Q357=54%,N357*O357*P357*F!$B$54,IF(Q357=55%,N357*O357*P357*F!$B$55,IF(Q357=56%,N357*O357*P357*F!$B$56,IF(Q357=57%,N357*O357*P357*F!$B$57,IF(Q357=58%,N357*O357*P357*F!$B$58,IF(Q357=59%,N357*O357*P357*F!$B$59,IF(Q357=60%,N357*O357*P357*F!$B$60,IF(Q357=61%,N357*O357*P357*F!$B$61,IF(Q357=62%,N357*O357*P357*F!$B$62,IF(Q357=63%,N357*O357*P357*F!$B$63,IF(Q357=64%,N357*O357*P357*F!$B$64,IF(Q357=65%,N357*O357*P357*F!$B$65,IF(Q357=66%,N357*O357*P357*F!$B$66,IF(Q357=67%,N357*O357*P357*F!$B$67,IF(Q357=68%,N357*O357*P357*F!$B$68,IF(Q357=69%,N357*O357*P357*F!$B$69,IF(Q357=70%,N357*O357*P357*F!$B$70,IF(Q357=71%,N357*O357*P357*F!$B$71,IF(Q357=72%,N357*O357*P357*F!$B$72,IF(Q357=73%,N357*O357*P357*F!$B$73,IF(Q357=74%,N357*O357*P357*F!$B$74,IF(Q357=75%,N357*O357*P357*F!$B$75,IF(Q357=76%,N357*O357*P357*F!$B$76,IF(Q357=77%,N357*O357*P357*F!$B$77,IF(Q357=78%,N357*O357*P357*F!$B$78,IF(Q357=79%,N357*O357*P357*F!$B$79,IF(Q357=80%,N357*O357*P357*F!$B$80,IF(Q357=81%,N357*O357*P357*F!$B$81,IF(Q357=82%,N357*O357*P357*F!$B$82,IF(Q357=83%,N357*O357*P357*F!$B$83,IF(Q357=84%,N357*O357*P357*F!$B$84,IF(Q357=85%,N357*O357*P357*F!$B$85,IF(Q357=86%,N357*O357*P357*F!$B$86,IF(Q357=87%,N357*O357*P357*F!$B$87,IF(Q357=88%,N357*O357*P357*F!$B$88,IF(Q357=89%,N357*O357*P357*F!$B$89,IF(Q357=90%,N357*O357*P357*F!$B$90,IF(Q357=91%,N357*O357*P357*F!$B$91,IF(Q357=92%,N357*O357*P357*F!$B$92,IF(Q357=93%,N357*O357*P357*F!$B$93,IF(Q357=94%,N357*O357*P357*F!$B$94,IF(Q357=95%,N357*O357*P357*F!$B$95,IF(Q357=96%,N357*O357*P357*F!$B$96,IF(Q357=97%,N357*O357*P357*F!$B$97,IF(Q357=98%,N357*O357*P357*F!$B$98,IF(Q357=99%,N357*O357*P357*F!$B$99,IF(Q357&gt;99%,N357*O357*P357*F!$B$100,))))))))))))))))))))))))))))))))))))))))))))))))))))))))+IF(U357&lt;30%,0,IF(U357&lt;35%,R357*S357*T357*F!$B$33,IF(U357&lt;40%,R357*S357*T357*F!$B$38,IF(U357&lt;45%,R357*S357*T357*F!$B$43,IF(U357&lt;50%,R357*S357*T357*F!$B$48,IF(U357=50%,R357*S357*T357*F!$B$50,IF(U357=51%,R357*S357*T357*F!$B$51,IF(U357=52%,R357*S357*T357*F!$B$52,IF(U357=53%,R357*S357*T357*F!$B$53,IF(U357=54%,R357*S357*T357*F!$B$54,IF(U357=55%,R357*S357*T357*F!$B$55,IF(U357=56%,R357*S357*T357*F!$B$56,IF(U357=57%,R357*S357*T357*F!$B$57,IF(U357=58%,R357*S357*T357*F!$B$58,IF(U357=59%,R357*S357*T357*F!$B$59,IF(U357=60%,R357*S357*T357*F!$B$60,IF(U357=61%,R357*S357*T357*F!$B$61,IF(U357=62%,R357*S357*T357*F!$B$62,IF(U357=63%,R357*S357*T357*F!$B$63,IF(U357=64%,R357*S357*T357*F!$B$64,IF(U357=65%,R357*S357*T357*F!$B$65,IF(U357=66%,R357*S357*T357*F!$B$66,IF(U357=67%,R357*S357*T357*F!$B$67,IF(U357=68%,R357*S357*T357*F!$B$68,IF(U357=69%,R357*S357*T357*F!$B$69,IF(U357=70%,R357*S357*T357*F!$B$70,IF(U357=71%,R357*S357*T357*F!$B$71,IF(U357=72%,R357*S357*T357*F!$B$72,IF(U357=73%,R357*S357*T357*F!$B$73,IF(U357=74%,R357*S357*T357*F!$B$74,IF(U357=75%,R357*S357*T357*F!$B$75,IF(U357=76%,R357*S357*T357*F!$B$76,IF(U357=77%,R357*S357*T357*F!$B$77,IF(U357=78%,R357*S357*T357*F!$B$78,IF(U357=79%,R357*S357*T357*F!$B$79,IF(U357=80%,R357*S357*T357*F!$B$80,IF(U357=81%,R357*S357*T357*F!$B$81,IF(U357=82%,R357*S357*T357*F!$B$82,IF(U357=83%,R357*S357*T357*F!$B$83,IF(U357=84%,R357*S357*T357*F!$B$84,IF(U357=85%,R357*S357*T357*F!$B$85,IF(U357=86%,R357*S357*T357*F!$B$86,IF(U357=87%,R357*S357*T357*F!$B$87,IF(U357=88%,R357*S357*T357*F!$B$88,IF(U357=89%,R357*S357*T357*F!$B$89,IF(U357=90%,R357*S357*T357*F!$B$90,IF(U357=91%,R357*S357*T357*F!$B$91,IF(U357=92%,R357*S357*T357*F!$B$92,IF(U357=93%,R357*S357*T357*F!$B$93,IF(U357=94%,R357*S357*T357*F!$B$94,IF(U357=95%,R357*S357*T357*F!$B$95,IF(U357=96%,R357*S357*T357*F!$B$96,IF(U357=97%,R357*S357*T357*F!$B$97,IF(U357=98%,R357*S357*T357*F!$B$98,IF(U357=99%,R357*S357*T357*F!$B$99,IF(U357&gt;99%,R357*S357*T357*F!$B$100)))))))))))))))))))))))))))))))))))))))))))))))))))))))))*IF(ISNUMBER(E357),E357,1)*IF(ISNUMBER(D357),D357,1)</f>
        <v>0</v>
      </c>
      <c r="AA357" s="93">
        <f t="shared" ref="AA357:AA362" si="904">G357*H357+K357*L357+O357*P357+S357*T357</f>
        <v>0</v>
      </c>
      <c r="AB357" s="99">
        <f t="shared" ref="AB357:AB362" si="905">(H357*(IF(I357&lt;45%,0.5,IF(I357&lt;55%,0.8,IF(I357&lt;65%,0.9,IF(I357&lt;75%,1,IF(I357&lt;85%,1.1,1.2))))))+L357*(IF(M357&lt;45%,0.5,IF(M357&lt;55%,0.8,IF(M357&lt;65%,0.9,IF(M357&lt;75%,1,IF(M357&lt;85%,1.1,1.2))))))+P357*(IF(Q357&lt;45%,0.5,IF(Q357&lt;55%,0.8,IF(Q357&lt;65%,0.9,IF(Q357&lt;75%,1,IF(Q357&lt;85%,1.1,1.2))))))+T357*(IF(U357&lt;45%,0.5,IF(U357&lt;55%,0.8,IF(U357&lt;65%,0.9,IF(U357&lt;75%,1,IF(U357&lt;85%,1.1,1.2)))))))*IF(D357&gt;=0.8,6,IF(D357&lt;=0.4,1.5,3))</f>
        <v>0</v>
      </c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</row>
    <row r="358" ht="15.0" hidden="1" customHeight="1">
      <c r="A358" s="142">
        <f>A351+1</f>
        <v>42399</v>
      </c>
      <c r="B358" s="101" t="str">
        <f t="shared" ref="B358:C358" si="893">IF(B321="","",B321)</f>
        <v/>
      </c>
      <c r="C358" s="143" t="str">
        <f t="shared" si="893"/>
        <v/>
      </c>
      <c r="D358" s="46" t="str">
        <f t="shared" si="894"/>
        <v/>
      </c>
      <c r="E358" s="144" t="str">
        <f t="shared" si="840"/>
        <v/>
      </c>
      <c r="F358" s="59"/>
      <c r="G358" s="60"/>
      <c r="H358" s="60"/>
      <c r="I358" s="61" t="str">
        <f t="shared" si="895"/>
        <v/>
      </c>
      <c r="J358" s="59"/>
      <c r="K358" s="60"/>
      <c r="L358" s="60"/>
      <c r="M358" s="61" t="str">
        <f t="shared" si="896"/>
        <v/>
      </c>
      <c r="N358" s="59"/>
      <c r="O358" s="60"/>
      <c r="P358" s="60"/>
      <c r="Q358" s="61" t="str">
        <f t="shared" si="897"/>
        <v/>
      </c>
      <c r="R358" s="59"/>
      <c r="S358" s="60"/>
      <c r="T358" s="60"/>
      <c r="U358" s="61" t="str">
        <f t="shared" si="898"/>
        <v/>
      </c>
      <c r="V358" s="104">
        <f t="shared" si="899"/>
        <v>0</v>
      </c>
      <c r="W358" s="64">
        <f t="shared" si="900"/>
        <v>0</v>
      </c>
      <c r="X358" s="65">
        <f t="shared" si="901"/>
        <v>0</v>
      </c>
      <c r="Y358" s="137" t="str">
        <f t="shared" si="902"/>
        <v/>
      </c>
      <c r="Z358" s="64">
        <f t="shared" si="903"/>
        <v>0</v>
      </c>
      <c r="AA358" s="60">
        <f t="shared" si="904"/>
        <v>0</v>
      </c>
      <c r="AB358" s="66">
        <f t="shared" si="905"/>
        <v>0</v>
      </c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</row>
    <row r="359" ht="15.75" hidden="1" customHeight="1">
      <c r="A359" s="57"/>
      <c r="B359" s="101" t="str">
        <f t="shared" ref="B359:C359" si="906">IF(B322="","",B322)</f>
        <v/>
      </c>
      <c r="C359" s="143" t="str">
        <f t="shared" si="906"/>
        <v/>
      </c>
      <c r="D359" s="46" t="str">
        <f t="shared" si="894"/>
        <v/>
      </c>
      <c r="E359" s="144" t="str">
        <f t="shared" si="840"/>
        <v/>
      </c>
      <c r="F359" s="105"/>
      <c r="G359" s="106"/>
      <c r="H359" s="106"/>
      <c r="I359" s="107" t="str">
        <f t="shared" si="895"/>
        <v/>
      </c>
      <c r="J359" s="105"/>
      <c r="K359" s="106"/>
      <c r="L359" s="106"/>
      <c r="M359" s="107" t="str">
        <f t="shared" si="896"/>
        <v/>
      </c>
      <c r="N359" s="105"/>
      <c r="O359" s="106"/>
      <c r="P359" s="106"/>
      <c r="Q359" s="107" t="str">
        <f t="shared" si="897"/>
        <v/>
      </c>
      <c r="R359" s="105"/>
      <c r="S359" s="106"/>
      <c r="T359" s="106"/>
      <c r="U359" s="107" t="str">
        <f t="shared" si="898"/>
        <v/>
      </c>
      <c r="V359" s="108">
        <f t="shared" si="899"/>
        <v>0</v>
      </c>
      <c r="W359" s="109">
        <f t="shared" si="900"/>
        <v>0</v>
      </c>
      <c r="X359" s="110">
        <f t="shared" si="901"/>
        <v>0</v>
      </c>
      <c r="Y359" s="137" t="str">
        <f t="shared" si="902"/>
        <v/>
      </c>
      <c r="Z359" s="109">
        <f t="shared" si="903"/>
        <v>0</v>
      </c>
      <c r="AA359" s="106">
        <f t="shared" si="904"/>
        <v>0</v>
      </c>
      <c r="AB359" s="111">
        <f t="shared" si="905"/>
        <v>0</v>
      </c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</row>
    <row r="360" ht="15.75" hidden="1" customHeight="1">
      <c r="A360" s="57"/>
      <c r="B360" s="101" t="str">
        <f t="shared" ref="B360:C360" si="907">IF(B323="","",B323)</f>
        <v/>
      </c>
      <c r="C360" s="143" t="str">
        <f t="shared" si="907"/>
        <v/>
      </c>
      <c r="D360" s="46" t="str">
        <f t="shared" si="894"/>
        <v/>
      </c>
      <c r="E360" s="144" t="str">
        <f t="shared" si="840"/>
        <v/>
      </c>
      <c r="F360" s="59"/>
      <c r="G360" s="60"/>
      <c r="H360" s="60"/>
      <c r="I360" s="61" t="str">
        <f t="shared" si="895"/>
        <v/>
      </c>
      <c r="J360" s="59"/>
      <c r="K360" s="60"/>
      <c r="L360" s="60"/>
      <c r="M360" s="61" t="str">
        <f t="shared" si="896"/>
        <v/>
      </c>
      <c r="N360" s="59"/>
      <c r="O360" s="60"/>
      <c r="P360" s="60"/>
      <c r="Q360" s="61" t="str">
        <f t="shared" si="897"/>
        <v/>
      </c>
      <c r="R360" s="59"/>
      <c r="S360" s="60"/>
      <c r="T360" s="60"/>
      <c r="U360" s="61" t="str">
        <f t="shared" si="898"/>
        <v/>
      </c>
      <c r="V360" s="104">
        <f t="shared" si="899"/>
        <v>0</v>
      </c>
      <c r="W360" s="64">
        <f t="shared" si="900"/>
        <v>0</v>
      </c>
      <c r="X360" s="65">
        <f t="shared" si="901"/>
        <v>0</v>
      </c>
      <c r="Y360" s="137" t="str">
        <f t="shared" si="902"/>
        <v/>
      </c>
      <c r="Z360" s="64">
        <f t="shared" si="903"/>
        <v>0</v>
      </c>
      <c r="AA360" s="60">
        <f t="shared" si="904"/>
        <v>0</v>
      </c>
      <c r="AB360" s="66">
        <f t="shared" si="905"/>
        <v>0</v>
      </c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</row>
    <row r="361" ht="15.75" hidden="1" customHeight="1">
      <c r="A361" s="57"/>
      <c r="B361" s="101" t="str">
        <f t="shared" ref="B361:C361" si="908">IF(B324="","",B324)</f>
        <v/>
      </c>
      <c r="C361" s="143" t="str">
        <f t="shared" si="908"/>
        <v/>
      </c>
      <c r="D361" s="46" t="str">
        <f t="shared" si="894"/>
        <v/>
      </c>
      <c r="E361" s="144" t="str">
        <f t="shared" si="840"/>
        <v/>
      </c>
      <c r="F361" s="105"/>
      <c r="G361" s="106"/>
      <c r="H361" s="106"/>
      <c r="I361" s="107" t="str">
        <f t="shared" si="895"/>
        <v/>
      </c>
      <c r="J361" s="105"/>
      <c r="K361" s="106"/>
      <c r="L361" s="106"/>
      <c r="M361" s="107" t="str">
        <f t="shared" si="896"/>
        <v/>
      </c>
      <c r="N361" s="105"/>
      <c r="O361" s="106"/>
      <c r="P361" s="106"/>
      <c r="Q361" s="107" t="str">
        <f t="shared" si="897"/>
        <v/>
      </c>
      <c r="R361" s="105"/>
      <c r="S361" s="106"/>
      <c r="T361" s="106"/>
      <c r="U361" s="107" t="str">
        <f t="shared" si="898"/>
        <v/>
      </c>
      <c r="V361" s="108">
        <f t="shared" si="899"/>
        <v>0</v>
      </c>
      <c r="W361" s="109">
        <f t="shared" si="900"/>
        <v>0</v>
      </c>
      <c r="X361" s="117">
        <f t="shared" si="901"/>
        <v>0</v>
      </c>
      <c r="Y361" s="137" t="str">
        <f t="shared" si="902"/>
        <v/>
      </c>
      <c r="Z361" s="109">
        <f t="shared" si="903"/>
        <v>0</v>
      </c>
      <c r="AA361" s="106">
        <f t="shared" si="904"/>
        <v>0</v>
      </c>
      <c r="AB361" s="111">
        <f t="shared" si="905"/>
        <v>0</v>
      </c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</row>
    <row r="362" ht="15.75" hidden="1" customHeight="1">
      <c r="A362" s="57"/>
      <c r="B362" s="101" t="str">
        <f t="shared" ref="B362:C362" si="909">IF(B325="","",B325)</f>
        <v/>
      </c>
      <c r="C362" s="143" t="str">
        <f t="shared" si="909"/>
        <v/>
      </c>
      <c r="D362" s="46" t="str">
        <f t="shared" si="894"/>
        <v/>
      </c>
      <c r="E362" s="144" t="str">
        <f t="shared" si="840"/>
        <v/>
      </c>
      <c r="F362" s="59"/>
      <c r="G362" s="60"/>
      <c r="H362" s="60"/>
      <c r="I362" s="61" t="str">
        <f t="shared" si="895"/>
        <v/>
      </c>
      <c r="J362" s="59"/>
      <c r="K362" s="60"/>
      <c r="L362" s="60"/>
      <c r="M362" s="61" t="str">
        <f t="shared" si="896"/>
        <v/>
      </c>
      <c r="N362" s="59"/>
      <c r="O362" s="60"/>
      <c r="P362" s="60"/>
      <c r="Q362" s="61" t="str">
        <f t="shared" si="897"/>
        <v/>
      </c>
      <c r="R362" s="59"/>
      <c r="S362" s="60"/>
      <c r="T362" s="60"/>
      <c r="U362" s="61" t="str">
        <f t="shared" si="898"/>
        <v/>
      </c>
      <c r="V362" s="104">
        <f t="shared" si="899"/>
        <v>0</v>
      </c>
      <c r="W362" s="64">
        <f t="shared" si="900"/>
        <v>0</v>
      </c>
      <c r="X362" s="65">
        <f t="shared" si="901"/>
        <v>0</v>
      </c>
      <c r="Y362" s="137" t="str">
        <f t="shared" si="902"/>
        <v/>
      </c>
      <c r="Z362" s="64">
        <f t="shared" si="903"/>
        <v>0</v>
      </c>
      <c r="AA362" s="60">
        <f t="shared" si="904"/>
        <v>0</v>
      </c>
      <c r="AB362" s="66">
        <f t="shared" si="905"/>
        <v>0</v>
      </c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</row>
    <row r="363" ht="15.75" hidden="1" customHeight="1">
      <c r="A363" s="72"/>
      <c r="B363" s="119" t="str">
        <f t="shared" ref="B363:C363" si="910">IF(B326="","",B326)</f>
        <v/>
      </c>
      <c r="C363" s="146" t="str">
        <f t="shared" si="910"/>
        <v/>
      </c>
      <c r="D363" s="75">
        <f>ROUND(IFERROR((D357*(G357*H357+K357*L357+O357*P357+S357*T357)+D358*(G358*H358+K358*L358+O358*P358+S358*T358)+D359*(G359*H359+K359*L359+O359*P359+S359*T359)+D360*(G360*H360+K360*L360+O360*P360+S360*T360)+D361*(G361*H361+K361*L361+O361*P361+S361*T361)+D362*(G362*H362+K362*L362+O362*P362+S362*T362))/((G357*H357+K357*L357+O357*P357+S357*T357)+(G358*H358+K358*L358+O358*P358+S358*T358)+(G359*H359+K359*L359+O359*P359+S359*T359)+(G360*H360+K360*L360+O360*P360+S360*T360)+(G361*H361+K361*L361+O361*P361+S361*T361)+(G362*H362+K362*L362+O362*P362+S362*T362)),0),2)</f>
        <v>0</v>
      </c>
      <c r="E363" s="147" t="str">
        <f t="shared" si="840"/>
        <v/>
      </c>
      <c r="F363" s="122"/>
      <c r="G363" s="123"/>
      <c r="H363" s="123"/>
      <c r="I363" s="124"/>
      <c r="J363" s="122"/>
      <c r="K363" s="123"/>
      <c r="L363" s="123"/>
      <c r="M363" s="124"/>
      <c r="N363" s="122"/>
      <c r="O363" s="123"/>
      <c r="P363" s="123"/>
      <c r="Q363" s="124"/>
      <c r="R363" s="122"/>
      <c r="S363" s="123"/>
      <c r="T363" s="123"/>
      <c r="U363" s="124"/>
      <c r="V363" s="125">
        <f>SUM(V357:V362)</f>
        <v>0</v>
      </c>
      <c r="W363" s="82">
        <f>IFERROR(V363/AA363,0)</f>
        <v>0</v>
      </c>
      <c r="X363" s="83">
        <f>ROUND(IFERROR(((I357*G357*H357+M357*K357*L357+Q357*O357*P357+U357*S357*T357)+(I358*G358*H358+M358*K358*L358+Q358*O358*P358+U358*S358*T358)+(I359*G359*H359+M359*K359*L359+Q359*O359*P359+U359*S359*T359)+(I360*G360*H360+M360*K360*L360+Q360*O360*P360+U360*S360*T360)+(I361*G361*H361+M361*K361*L361+Q361*O361*P361+U361*S361*T361)+(I362*G362*H362+M362*K362*L362+Q362*O362*P362+U362*S362*T362))/((G357*H357+K357*L357+O357*P357+S357*T357)+(G358*H358+K358*L358+O358*P358+S358*T358)+(G359*H359+K359*L359+O359*P359+S359*T359)+(G360*H360+K360*L360+O360*P360+S360*T360)+(G361*H361+K361*L361+O361*P361+S361*T361)+(G362*H362+K362*L362+O362*P362+S362*T362)),0),3)</f>
        <v>0</v>
      </c>
      <c r="Y363" s="84"/>
      <c r="Z363" s="82">
        <f t="shared" ref="Z363:AA363" si="911">SUM(Z357:Z362)</f>
        <v>0</v>
      </c>
      <c r="AA363" s="85">
        <f t="shared" si="911"/>
        <v>0</v>
      </c>
      <c r="AB363" s="86">
        <f>IF(SUM(AB357:AB362)=0,TIME(,0,),TIME(,SUM(AB357:AB362)+30,))</f>
        <v>0</v>
      </c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</row>
    <row r="364" ht="15.75" hidden="1" customHeight="1">
      <c r="A364" s="126" t="s">
        <v>36</v>
      </c>
      <c r="B364" s="27" t="str">
        <f t="shared" ref="B364:C364" si="912">IF(B327="","",B327)</f>
        <v/>
      </c>
      <c r="C364" s="148" t="str">
        <f t="shared" si="912"/>
        <v/>
      </c>
      <c r="D364" s="29" t="str">
        <f t="shared" ref="D364:D369" si="914">D327</f>
        <v/>
      </c>
      <c r="E364" s="30" t="str">
        <f t="shared" si="840"/>
        <v/>
      </c>
      <c r="F364" s="31"/>
      <c r="G364" s="32"/>
      <c r="H364" s="32"/>
      <c r="I364" s="33" t="str">
        <f t="shared" ref="I364:I369" si="915">IFERROR(ROUND(F364/$Y364,2),)</f>
        <v/>
      </c>
      <c r="J364" s="31"/>
      <c r="K364" s="32"/>
      <c r="L364" s="32"/>
      <c r="M364" s="33" t="str">
        <f t="shared" ref="M364:M369" si="916">IFERROR(ROUND(J364/$Y364,2),)</f>
        <v/>
      </c>
      <c r="N364" s="31"/>
      <c r="O364" s="32"/>
      <c r="P364" s="32"/>
      <c r="Q364" s="33" t="str">
        <f t="shared" ref="Q364:Q369" si="917">IFERROR(ROUND(N364/$Y364,2),)</f>
        <v/>
      </c>
      <c r="R364" s="31"/>
      <c r="S364" s="32"/>
      <c r="T364" s="32"/>
      <c r="U364" s="33" t="str">
        <f t="shared" ref="U364:U369" si="918">IFERROR(ROUND(R364/$Y364,2),)</f>
        <v/>
      </c>
      <c r="V364" s="130">
        <f t="shared" ref="V364:V369" si="919">(IF(ISNUMBER(F364),F364,1)*G364*H364+IF(ISNUMBER(J364),J364,1)*K364*L364+IF(ISNUMBER(N364),N364,1)*O364*P364+IF(ISNUMBER(R364),R364,1)*S364*T364)*IF(ISNUMBER(E364),E364,1)</f>
        <v>0</v>
      </c>
      <c r="W364" s="36">
        <f t="shared" ref="W364:W369" si="920">IFERROR((IF(ISNUMBER(F364),F364,1)*G364*H364+IF(ISNUMBER(J364),J364,1)*K364*L364+IF(ISNUMBER(N364),N364,1)*O364*P364+IF(ISNUMBER(R364),R364,1)*S364*T364)*IF(ISNUMBER(E364),E364,1)/(G364*H364+K364*L364+O364*P364+S364*T364),0)</f>
        <v>0</v>
      </c>
      <c r="X364" s="34">
        <f t="shared" ref="X364:X369" si="921">ROUND(IFERROR((W364/(Y364*IF(ISNUMBER(E364),E364,1))),0),2)</f>
        <v>0</v>
      </c>
      <c r="Y364" s="37" t="str">
        <f t="shared" ref="Y364:Y369" si="922">IF(ISNUMBER(Y327), Y327+(Y327*$Y$334),"")</f>
        <v/>
      </c>
      <c r="Z364" s="36">
        <f t="shared" ref="Z364:Z369" si="923">(IF(I364&lt;30%,0,IF(I364&lt;35%,F364*G364*H364*F!$B$33,IF(I364&lt;40%,F364*G364*H364*F!$B$38,IF(I364&lt;45%,F364*G364*H364*F!$B$43,IF(I364&lt;50%,F364*G364*H364*F!$B$48,IF(I364=50%,F364*G364*H364*F!$B$50,IF(I364=51%,F364*G364*H364*F!$B$51,IF(I364=52%,F364*G364*H364*F!$B$52,IF(I364=53%,F364*G364*H364*F!$B$53,IF(I364=54%,F364*G364*H364*F!$B$54,IF(I364=55%,F364*G364*H364*F!$B$55,IF(I364=56%,F364*G364*H364*F!$B$56,IF(I364=57%,F364*G364*H364*F!$B$57,IF(I364=58%,F364*G364*H364*F!$B$58,IF(I364=59%,F364*G364*H364*F!$B$59,IF(I364=60%,F364*G364*H364*F!$B$60,IF(I364=61%,F364*G364*H364*F!$B$61,IF(I364=62%,F364*G364*H364*F!$B$62,IF(I364=63%,F364*G364*H364*F!$B$63,IF(I364=64%,F364*G364*H364*F!$B$64,IF(I364=65%,F364*G364*H364*F!$B$65,IF(I364=66%,F364*G364*H364*F!$B$66,IF(I364=67%,F364*G364*H364*F!$B$67,IF(I364=68%,F364*G364*H364*F!$B$68,IF(I364=69%,F364*G364*H364*F!$B$69,IF(I364=70%,F364*G364*H364*F!$B$70,IF(I364=71%,F364*G364*H364*F!$B$71,IF(I364=72%,F364*G364*H364*F!$B$72,IF(I364=73%,F364*G364*H364*F!$B$73,IF(I364=74%,F364*G364*H364*F!$B$74,IF(I364=75%,F364*G364*H364*F!$B$75,IF(I364=76%,F364*G364*H364*F!$B$76,IF(I364=77%,F364*G364*H364*F!$B$77,IF(I364=78%,F364*G364*H364*F!$B$78,IF(I364=79%,F364*G364*H364*F!$B$79,IF(I364=80%,F364*G364*H364*F!$B$80,IF(I364=81%,F364*G364*H364*F!$B$81,IF(I364=82%,F364*G364*H364*F!$B$82,IF(I364=83%,F364*G364*H364*F!$B$83,IF(I364=84%,F364*G364*H364*F!$B$84,IF(I364=85%,F364*G364*H364*F!$B$85,IF(I364=86%,F364*G364*H364*F!$B$86,IF(I364=87%,F364*G364*H364*F!$B$87,IF(I364=88%,F364*G364*H364*F!$B$88,IF(I364=89%,F364*G364*H364*F!$B$89,IF(I364=90%,F364*G364*H364*F!$B$90,IF(I364=91%,F364*G364*H364*F!$B$91,IF(I364=92%,F364*G364*H364*F!$B$92,IF(I364=93%,F364*G364*H364*F!$B$93,IF(I364=94%,F364*G364*H364*F!$B$94,IF(I364=95%,F364*G364*H364*F!$B$95,IF(I364=96%,F364*G364*H364*F!$B$96,IF(I364=97%,F364*G364*H364*F!$B$97,IF(I364=98%,F364*G364*H364*F!$B$98,IF(I364=99%,F364*G364*H364*F!$B$99,IF(I364&gt;99%,F364*G364*H364*F!$B$100,))))))))))))))))))))))))))))))))))))))))))))))))))))))))+IF(M364&lt;30%,0,IF(M364&lt;35%,J364*K364*L364*F!$B$33,IF(M364&lt;40%,J364*K364*L364*F!$B$38,IF(M364&lt;45%,J364*K364*L364*F!$B$43,IF(M364&lt;50%,J364*K364*L364*F!$B$48,IF(M364=50%,J364*K364*L364*F!$B$50,IF(M364=51%,J364*K364*L364*F!$B$51,IF(M364=52%,J364*K364*L364*F!$B$52,IF(M364=53%,J364*K364*L364*F!$B$53,IF(M364=54%,J364*K364*L364*F!$B$54,IF(M364=55%,J364*K364*L364*F!$B$55,IF(M364=56%,J364*K364*L364*F!$B$56,IF(M364=57%,J364*K364*L364*F!$B$57,IF(M364=58%,J364*K364*L364*F!$B$58,IF(M364=59%,J364*K364*L364*F!$B$59,IF(M364=60%,J364*K364*L364*F!$B$60,IF(M364=61%,J364*K364*L364*F!$B$61,IF(M364=62%,J364*K364*L364*F!$B$62,IF(M364=63%,J364*K364*L364*F!$B$63,IF(M364=64%,J364*K364*L364*F!$B$64,IF(M364=65%,J364*K364*L364*F!$B$65,IF(M364=66%,J364*K364*L364*F!$B$66,IF(M364=67%,J364*K364*L364*F!$B$67,IF(M364=68%,J364*K364*L364*F!$B$68,IF(M364=69%,J364*K364*L364*F!$B$69,IF(M364=70%,J364*K364*L364*F!$B$70,IF(M364=71%,J364*K364*L364*F!$B$71,IF(M364=72%,J364*K364*L364*F!$B$72,IF(M364=73%,J364*K364*L364*F!$B$73,IF(M364=74%,J364*K364*L364*F!$B$74,IF(M364=75%,J364*K364*L364*F!$B$75,IF(M364=76%,J364*K364*L364*F!$B$76,IF(M364=77%,J364*K364*L364*F!$B$77,IF(M364=78%,J364*K364*L364*F!$B$78,IF(M364=79%,J364*K364*L364*F!$B$79,IF(M364=80%,J364*K364*L364*F!$B$80,IF(M364=81%,J364*K364*L364*F!$B$81,IF(M364=82%,J364*K364*L364*F!$B$82,IF(M364=83%,J364*K364*L364*F!$B$83,IF(M364=84%,J364*K364*L364*F!$B$84,IF(M364=85%,J364*K364*L364*F!$B$85,IF(M364=86%,J364*K364*L364*F!$B$86,IF(M364=87%,J364*K364*L364*F!$B$87,IF(M364=88%,J364*K364*L364*F!$B$88,IF(M364=89%,J364*K364*L364*F!$B$89,IF(M364=90%,J364*K364*L364*F!$B$90,IF(M364=91%,J364*K364*L364*F!$B$91,IF(M364=92%,J364*K364*L364*F!$B$92,IF(M364=93%,J364*K364*L364*F!$B$93,IF(M364=94%,J364*K364*L364*F!$B$94,IF(M364=95%,J364*K364*L364*F!$B$95,IF(M364=96%,J364*K364*L364*F!$B$96,IF(M364=97%,J364*K364*L364*F!$B$97,IF(M364=98%,J364*K364*L364*F!$B$98,IF(M364=99%,J364*K364*L364*F!$B$99,IF(M364&gt;99%,J364*K364*L364*F!$B$100,))))))))))))))))))))))))))))))))))))))))))))))))))))))))+IF(Q364&lt;30%,0,IF(Q364&lt;35%,N364*O364*P364*F!$B$33,IF(Q364&lt;40%,N364*O364*P364*F!$B$38,IF(Q364&lt;45%,N364*O364*P364*F!$B$43,IF(Q364&lt;50%,N364*O364*P364*F!$B$48,IF(Q364=50%,N364*O364*P364*F!$B$50,IF(Q364=51%,N364*O364*P364*F!$B$51,IF(Q364=52%,N364*O364*P364*F!$B$52,IF(Q364=53%,N364*O364*P364*F!$B$53,IF(Q364=54%,N364*O364*P364*F!$B$54,IF(Q364=55%,N364*O364*P364*F!$B$55,IF(Q364=56%,N364*O364*P364*F!$B$56,IF(Q364=57%,N364*O364*P364*F!$B$57,IF(Q364=58%,N364*O364*P364*F!$B$58,IF(Q364=59%,N364*O364*P364*F!$B$59,IF(Q364=60%,N364*O364*P364*F!$B$60,IF(Q364=61%,N364*O364*P364*F!$B$61,IF(Q364=62%,N364*O364*P364*F!$B$62,IF(Q364=63%,N364*O364*P364*F!$B$63,IF(Q364=64%,N364*O364*P364*F!$B$64,IF(Q364=65%,N364*O364*P364*F!$B$65,IF(Q364=66%,N364*O364*P364*F!$B$66,IF(Q364=67%,N364*O364*P364*F!$B$67,IF(Q364=68%,N364*O364*P364*F!$B$68,IF(Q364=69%,N364*O364*P364*F!$B$69,IF(Q364=70%,N364*O364*P364*F!$B$70,IF(Q364=71%,N364*O364*P364*F!$B$71,IF(Q364=72%,N364*O364*P364*F!$B$72,IF(Q364=73%,N364*O364*P364*F!$B$73,IF(Q364=74%,N364*O364*P364*F!$B$74,IF(Q364=75%,N364*O364*P364*F!$B$75,IF(Q364=76%,N364*O364*P364*F!$B$76,IF(Q364=77%,N364*O364*P364*F!$B$77,IF(Q364=78%,N364*O364*P364*F!$B$78,IF(Q364=79%,N364*O364*P364*F!$B$79,IF(Q364=80%,N364*O364*P364*F!$B$80,IF(Q364=81%,N364*O364*P364*F!$B$81,IF(Q364=82%,N364*O364*P364*F!$B$82,IF(Q364=83%,N364*O364*P364*F!$B$83,IF(Q364=84%,N364*O364*P364*F!$B$84,IF(Q364=85%,N364*O364*P364*F!$B$85,IF(Q364=86%,N364*O364*P364*F!$B$86,IF(Q364=87%,N364*O364*P364*F!$B$87,IF(Q364=88%,N364*O364*P364*F!$B$88,IF(Q364=89%,N364*O364*P364*F!$B$89,IF(Q364=90%,N364*O364*P364*F!$B$90,IF(Q364=91%,N364*O364*P364*F!$B$91,IF(Q364=92%,N364*O364*P364*F!$B$92,IF(Q364=93%,N364*O364*P364*F!$B$93,IF(Q364=94%,N364*O364*P364*F!$B$94,IF(Q364=95%,N364*O364*P364*F!$B$95,IF(Q364=96%,N364*O364*P364*F!$B$96,IF(Q364=97%,N364*O364*P364*F!$B$97,IF(Q364=98%,N364*O364*P364*F!$B$98,IF(Q364=99%,N364*O364*P364*F!$B$99,IF(Q364&gt;99%,N364*O364*P364*F!$B$100,))))))))))))))))))))))))))))))))))))))))))))))))))))))))+IF(U364&lt;30%,0,IF(U364&lt;35%,R364*S364*T364*F!$B$33,IF(U364&lt;40%,R364*S364*T364*F!$B$38,IF(U364&lt;45%,R364*S364*T364*F!$B$43,IF(U364&lt;50%,R364*S364*T364*F!$B$48,IF(U364=50%,R364*S364*T364*F!$B$50,IF(U364=51%,R364*S364*T364*F!$B$51,IF(U364=52%,R364*S364*T364*F!$B$52,IF(U364=53%,R364*S364*T364*F!$B$53,IF(U364=54%,R364*S364*T364*F!$B$54,IF(U364=55%,R364*S364*T364*F!$B$55,IF(U364=56%,R364*S364*T364*F!$B$56,IF(U364=57%,R364*S364*T364*F!$B$57,IF(U364=58%,R364*S364*T364*F!$B$58,IF(U364=59%,R364*S364*T364*F!$B$59,IF(U364=60%,R364*S364*T364*F!$B$60,IF(U364=61%,R364*S364*T364*F!$B$61,IF(U364=62%,R364*S364*T364*F!$B$62,IF(U364=63%,R364*S364*T364*F!$B$63,IF(U364=64%,R364*S364*T364*F!$B$64,IF(U364=65%,R364*S364*T364*F!$B$65,IF(U364=66%,R364*S364*T364*F!$B$66,IF(U364=67%,R364*S364*T364*F!$B$67,IF(U364=68%,R364*S364*T364*F!$B$68,IF(U364=69%,R364*S364*T364*F!$B$69,IF(U364=70%,R364*S364*T364*F!$B$70,IF(U364=71%,R364*S364*T364*F!$B$71,IF(U364=72%,R364*S364*T364*F!$B$72,IF(U364=73%,R364*S364*T364*F!$B$73,IF(U364=74%,R364*S364*T364*F!$B$74,IF(U364=75%,R364*S364*T364*F!$B$75,IF(U364=76%,R364*S364*T364*F!$B$76,IF(U364=77%,R364*S364*T364*F!$B$77,IF(U364=78%,R364*S364*T364*F!$B$78,IF(U364=79%,R364*S364*T364*F!$B$79,IF(U364=80%,R364*S364*T364*F!$B$80,IF(U364=81%,R364*S364*T364*F!$B$81,IF(U364=82%,R364*S364*T364*F!$B$82,IF(U364=83%,R364*S364*T364*F!$B$83,IF(U364=84%,R364*S364*T364*F!$B$84,IF(U364=85%,R364*S364*T364*F!$B$85,IF(U364=86%,R364*S364*T364*F!$B$86,IF(U364=87%,R364*S364*T364*F!$B$87,IF(U364=88%,R364*S364*T364*F!$B$88,IF(U364=89%,R364*S364*T364*F!$B$89,IF(U364=90%,R364*S364*T364*F!$B$90,IF(U364=91%,R364*S364*T364*F!$B$91,IF(U364=92%,R364*S364*T364*F!$B$92,IF(U364=93%,R364*S364*T364*F!$B$93,IF(U364=94%,R364*S364*T364*F!$B$94,IF(U364=95%,R364*S364*T364*F!$B$95,IF(U364=96%,R364*S364*T364*F!$B$96,IF(U364=97%,R364*S364*T364*F!$B$97,IF(U364=98%,R364*S364*T364*F!$B$98,IF(U364=99%,R364*S364*T364*F!$B$99,IF(U364&gt;99%,R364*S364*T364*F!$B$100)))))))))))))))))))))))))))))))))))))))))))))))))))))))))*IF(ISNUMBER(E364),E364,1)*IF(ISNUMBER(D364),D364,1)</f>
        <v>0</v>
      </c>
      <c r="AA364" s="32">
        <f t="shared" ref="AA364:AA369" si="924">G364*H364+K364*L364+O364*P364+S364*T364</f>
        <v>0</v>
      </c>
      <c r="AB364" s="38">
        <f t="shared" ref="AB364:AB369" si="925">(H364*(IF(I364&lt;45%,0.5,IF(I364&lt;55%,0.8,IF(I364&lt;65%,0.9,IF(I364&lt;75%,1,IF(I364&lt;85%,1.1,1.2))))))+L364*(IF(M364&lt;45%,0.5,IF(M364&lt;55%,0.8,IF(M364&lt;65%,0.9,IF(M364&lt;75%,1,IF(M364&lt;85%,1.1,1.2))))))+P364*(IF(Q364&lt;45%,0.5,IF(Q364&lt;55%,0.8,IF(Q364&lt;65%,0.9,IF(Q364&lt;75%,1,IF(Q364&lt;85%,1.1,1.2))))))+T364*(IF(U364&lt;45%,0.5,IF(U364&lt;55%,0.8,IF(U364&lt;65%,0.9,IF(U364&lt;75%,1,IF(U364&lt;85%,1.1,1.2)))))))*IF(D364&gt;=0.8,6,IF(D364&lt;=0.4,1.5,3))</f>
        <v>0</v>
      </c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</row>
    <row r="365" ht="15.0" hidden="1" customHeight="1">
      <c r="A365" s="142">
        <f>A358+1</f>
        <v>42400</v>
      </c>
      <c r="B365" s="44" t="str">
        <f t="shared" ref="B365:C365" si="913">IF(B328="","",B328)</f>
        <v/>
      </c>
      <c r="C365" s="149" t="str">
        <f t="shared" si="913"/>
        <v/>
      </c>
      <c r="D365" s="46" t="str">
        <f t="shared" si="914"/>
        <v/>
      </c>
      <c r="E365" s="47" t="str">
        <f t="shared" si="840"/>
        <v/>
      </c>
      <c r="F365" s="48"/>
      <c r="G365" s="49"/>
      <c r="H365" s="49"/>
      <c r="I365" s="50" t="str">
        <f t="shared" si="915"/>
        <v/>
      </c>
      <c r="J365" s="48"/>
      <c r="K365" s="49"/>
      <c r="L365" s="49"/>
      <c r="M365" s="50" t="str">
        <f t="shared" si="916"/>
        <v/>
      </c>
      <c r="N365" s="48"/>
      <c r="O365" s="49"/>
      <c r="P365" s="49"/>
      <c r="Q365" s="50" t="str">
        <f t="shared" si="917"/>
        <v/>
      </c>
      <c r="R365" s="48"/>
      <c r="S365" s="49"/>
      <c r="T365" s="49"/>
      <c r="U365" s="50" t="str">
        <f t="shared" si="918"/>
        <v/>
      </c>
      <c r="V365" s="134">
        <f t="shared" si="919"/>
        <v>0</v>
      </c>
      <c r="W365" s="53">
        <f t="shared" si="920"/>
        <v>0</v>
      </c>
      <c r="X365" s="54">
        <f t="shared" si="921"/>
        <v>0</v>
      </c>
      <c r="Y365" s="137" t="str">
        <f t="shared" si="922"/>
        <v/>
      </c>
      <c r="Z365" s="53">
        <f t="shared" si="923"/>
        <v>0</v>
      </c>
      <c r="AA365" s="49">
        <f t="shared" si="924"/>
        <v>0</v>
      </c>
      <c r="AB365" s="56">
        <f t="shared" si="925"/>
        <v>0</v>
      </c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</row>
    <row r="366" ht="15.75" hidden="1" customHeight="1">
      <c r="A366" s="57"/>
      <c r="B366" s="44" t="str">
        <f t="shared" ref="B366:C366" si="926">IF(B329="","",B329)</f>
        <v/>
      </c>
      <c r="C366" s="149" t="str">
        <f t="shared" si="926"/>
        <v/>
      </c>
      <c r="D366" s="46" t="str">
        <f t="shared" si="914"/>
        <v/>
      </c>
      <c r="E366" s="47" t="str">
        <f t="shared" si="840"/>
        <v/>
      </c>
      <c r="F366" s="59"/>
      <c r="G366" s="60"/>
      <c r="H366" s="60"/>
      <c r="I366" s="61" t="str">
        <f t="shared" si="915"/>
        <v/>
      </c>
      <c r="J366" s="59"/>
      <c r="K366" s="60"/>
      <c r="L366" s="60"/>
      <c r="M366" s="61" t="str">
        <f t="shared" si="916"/>
        <v/>
      </c>
      <c r="N366" s="59"/>
      <c r="O366" s="60"/>
      <c r="P366" s="60"/>
      <c r="Q366" s="61" t="str">
        <f t="shared" si="917"/>
        <v/>
      </c>
      <c r="R366" s="59"/>
      <c r="S366" s="60"/>
      <c r="T366" s="60"/>
      <c r="U366" s="61" t="str">
        <f t="shared" si="918"/>
        <v/>
      </c>
      <c r="V366" s="104">
        <f t="shared" si="919"/>
        <v>0</v>
      </c>
      <c r="W366" s="64">
        <f t="shared" si="920"/>
        <v>0</v>
      </c>
      <c r="X366" s="65">
        <f t="shared" si="921"/>
        <v>0</v>
      </c>
      <c r="Y366" s="137" t="str">
        <f t="shared" si="922"/>
        <v/>
      </c>
      <c r="Z366" s="64">
        <f t="shared" si="923"/>
        <v>0</v>
      </c>
      <c r="AA366" s="60">
        <f t="shared" si="924"/>
        <v>0</v>
      </c>
      <c r="AB366" s="66">
        <f t="shared" si="925"/>
        <v>0</v>
      </c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</row>
    <row r="367" ht="15.75" hidden="1" customHeight="1">
      <c r="A367" s="57"/>
      <c r="B367" s="44" t="str">
        <f t="shared" ref="B367:C367" si="927">IF(B330="","",B330)</f>
        <v/>
      </c>
      <c r="C367" s="149" t="str">
        <f t="shared" si="927"/>
        <v/>
      </c>
      <c r="D367" s="46" t="str">
        <f t="shared" si="914"/>
        <v/>
      </c>
      <c r="E367" s="47" t="str">
        <f t="shared" si="840"/>
        <v/>
      </c>
      <c r="F367" s="48"/>
      <c r="G367" s="49"/>
      <c r="H367" s="49"/>
      <c r="I367" s="50" t="str">
        <f t="shared" si="915"/>
        <v/>
      </c>
      <c r="J367" s="48"/>
      <c r="K367" s="49"/>
      <c r="L367" s="49"/>
      <c r="M367" s="50" t="str">
        <f t="shared" si="916"/>
        <v/>
      </c>
      <c r="N367" s="48"/>
      <c r="O367" s="49"/>
      <c r="P367" s="49"/>
      <c r="Q367" s="50" t="str">
        <f t="shared" si="917"/>
        <v/>
      </c>
      <c r="R367" s="48"/>
      <c r="S367" s="49"/>
      <c r="T367" s="49"/>
      <c r="U367" s="50" t="str">
        <f t="shared" si="918"/>
        <v/>
      </c>
      <c r="V367" s="134">
        <f t="shared" si="919"/>
        <v>0</v>
      </c>
      <c r="W367" s="53">
        <f t="shared" si="920"/>
        <v>0</v>
      </c>
      <c r="X367" s="54">
        <f t="shared" si="921"/>
        <v>0</v>
      </c>
      <c r="Y367" s="137" t="str">
        <f t="shared" si="922"/>
        <v/>
      </c>
      <c r="Z367" s="53">
        <f t="shared" si="923"/>
        <v>0</v>
      </c>
      <c r="AA367" s="49">
        <f t="shared" si="924"/>
        <v>0</v>
      </c>
      <c r="AB367" s="56">
        <f t="shared" si="925"/>
        <v>0</v>
      </c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</row>
    <row r="368" ht="15.75" hidden="1" customHeight="1">
      <c r="A368" s="57"/>
      <c r="B368" s="44" t="str">
        <f t="shared" ref="B368:C368" si="928">IF(B331="","",B331)</f>
        <v/>
      </c>
      <c r="C368" s="149" t="str">
        <f t="shared" si="928"/>
        <v/>
      </c>
      <c r="D368" s="46" t="str">
        <f t="shared" si="914"/>
        <v/>
      </c>
      <c r="E368" s="47" t="str">
        <f t="shared" si="840"/>
        <v/>
      </c>
      <c r="F368" s="59"/>
      <c r="G368" s="60"/>
      <c r="H368" s="60"/>
      <c r="I368" s="61" t="str">
        <f t="shared" si="915"/>
        <v/>
      </c>
      <c r="J368" s="59"/>
      <c r="K368" s="60"/>
      <c r="L368" s="60"/>
      <c r="M368" s="61" t="str">
        <f t="shared" si="916"/>
        <v/>
      </c>
      <c r="N368" s="59"/>
      <c r="O368" s="60"/>
      <c r="P368" s="60"/>
      <c r="Q368" s="61" t="str">
        <f t="shared" si="917"/>
        <v/>
      </c>
      <c r="R368" s="59"/>
      <c r="S368" s="60"/>
      <c r="T368" s="60"/>
      <c r="U368" s="61" t="str">
        <f t="shared" si="918"/>
        <v/>
      </c>
      <c r="V368" s="104">
        <f t="shared" si="919"/>
        <v>0</v>
      </c>
      <c r="W368" s="64">
        <f t="shared" si="920"/>
        <v>0</v>
      </c>
      <c r="X368" s="62">
        <f t="shared" si="921"/>
        <v>0</v>
      </c>
      <c r="Y368" s="137" t="str">
        <f t="shared" si="922"/>
        <v/>
      </c>
      <c r="Z368" s="64">
        <f t="shared" si="923"/>
        <v>0</v>
      </c>
      <c r="AA368" s="60">
        <f t="shared" si="924"/>
        <v>0</v>
      </c>
      <c r="AB368" s="66">
        <f t="shared" si="925"/>
        <v>0</v>
      </c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</row>
    <row r="369" ht="15.75" hidden="1" customHeight="1">
      <c r="A369" s="57"/>
      <c r="B369" s="44" t="str">
        <f t="shared" ref="B369:C369" si="929">IF(B332="","",B332)</f>
        <v/>
      </c>
      <c r="C369" s="149" t="str">
        <f t="shared" si="929"/>
        <v/>
      </c>
      <c r="D369" s="46" t="str">
        <f t="shared" si="914"/>
        <v/>
      </c>
      <c r="E369" s="47" t="str">
        <f t="shared" si="840"/>
        <v/>
      </c>
      <c r="F369" s="48"/>
      <c r="G369" s="49"/>
      <c r="H369" s="49"/>
      <c r="I369" s="50" t="str">
        <f t="shared" si="915"/>
        <v/>
      </c>
      <c r="J369" s="48"/>
      <c r="K369" s="49"/>
      <c r="L369" s="49"/>
      <c r="M369" s="50" t="str">
        <f t="shared" si="916"/>
        <v/>
      </c>
      <c r="N369" s="48"/>
      <c r="O369" s="49"/>
      <c r="P369" s="49"/>
      <c r="Q369" s="50" t="str">
        <f t="shared" si="917"/>
        <v/>
      </c>
      <c r="R369" s="48"/>
      <c r="S369" s="49"/>
      <c r="T369" s="49"/>
      <c r="U369" s="50" t="str">
        <f t="shared" si="918"/>
        <v/>
      </c>
      <c r="V369" s="134">
        <f t="shared" si="919"/>
        <v>0</v>
      </c>
      <c r="W369" s="53">
        <f t="shared" si="920"/>
        <v>0</v>
      </c>
      <c r="X369" s="54">
        <f t="shared" si="921"/>
        <v>0</v>
      </c>
      <c r="Y369" s="137" t="str">
        <f t="shared" si="922"/>
        <v/>
      </c>
      <c r="Z369" s="53">
        <f t="shared" si="923"/>
        <v>0</v>
      </c>
      <c r="AA369" s="49">
        <f t="shared" si="924"/>
        <v>0</v>
      </c>
      <c r="AB369" s="56">
        <f t="shared" si="925"/>
        <v>0</v>
      </c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</row>
    <row r="370" ht="15.75" hidden="1" customHeight="1">
      <c r="A370" s="72"/>
      <c r="B370" s="73" t="str">
        <f t="shared" ref="B370:C370" si="930">IF(B333="","",B333)</f>
        <v/>
      </c>
      <c r="C370" s="150" t="str">
        <f t="shared" si="930"/>
        <v/>
      </c>
      <c r="D370" s="75">
        <f>ROUND(IFERROR((D364*(G364*H364+K364*L364+O364*P364+S364*T364)+D365*(G365*H365+K365*L365+O365*P365+S365*T365)+D366*(G366*H366+K366*L366+O366*P366+S366*T366)+D367*(G367*H367+K367*L367+O367*P367+S367*T367)+D368*(G368*H368+K368*L368+O368*P368+S368*T368)+D369*(G369*H369+K369*L369+O369*P369+S369*T369))/((G364*H364+K364*L364+O364*P364+S364*T364)+(G365*H365+K365*L365+O365*P365+S365*T365)+(G366*H366+K366*L366+O366*P366+S366*T366)+(G367*H367+K367*L367+O367*P367+S367*T367)+(G368*H368+K368*L368+O368*P368+S368*T368)+(G369*H369+K369*L369+O369*P369+S369*T369)),0),2)</f>
        <v>0</v>
      </c>
      <c r="E370" s="76" t="str">
        <f t="shared" si="840"/>
        <v/>
      </c>
      <c r="F370" s="77"/>
      <c r="G370" s="78"/>
      <c r="H370" s="78"/>
      <c r="I370" s="79"/>
      <c r="J370" s="77"/>
      <c r="K370" s="78"/>
      <c r="L370" s="78"/>
      <c r="M370" s="79"/>
      <c r="N370" s="77"/>
      <c r="O370" s="78"/>
      <c r="P370" s="78"/>
      <c r="Q370" s="79"/>
      <c r="R370" s="77"/>
      <c r="S370" s="78"/>
      <c r="T370" s="78"/>
      <c r="U370" s="79"/>
      <c r="V370" s="125">
        <f>SUM(V364:V369)</f>
        <v>0</v>
      </c>
      <c r="W370" s="82">
        <f t="shared" ref="W370:W371" si="932">IFERROR(V370/AA370,0)</f>
        <v>0</v>
      </c>
      <c r="X370" s="83">
        <f>ROUND(IFERROR(((I364*G364*H364+M364*K364*L364+Q364*O364*P364+U364*S364*T364)+(I365*G365*H365+M365*K365*L365+Q365*O365*P365+U365*S365*T365)+(I366*G366*H366+M366*K366*L366+Q366*O366*P366+U366*S366*T366)+(I367*G367*H367+M367*K367*L367+Q367*O367*P367+U367*S367*T367)+(I368*G368*H368+M368*K368*L368+Q368*O368*P368+U368*S368*T368)+(I369*G369*H369+M369*K369*L369+Q369*O369*P369+U369*S369*T369))/((G364*H364+K364*L364+O364*P364+S364*T364)+(G365*H365+K365*L365+O365*P365+S365*T365)+(G366*H366+K366*L366+O366*P366+S366*T366)+(G367*H367+K367*L367+O367*P367+S367*T367)+(G368*H368+K368*L368+O368*P368+S368*T368)+(G369*H369+K369*L369+O369*P369+S369*T369)),0),3)</f>
        <v>0</v>
      </c>
      <c r="Y370" s="84"/>
      <c r="Z370" s="82">
        <f t="shared" ref="Z370:AA370" si="931">SUM(Z364:Z369)</f>
        <v>0</v>
      </c>
      <c r="AA370" s="85">
        <f t="shared" si="931"/>
        <v>0</v>
      </c>
      <c r="AB370" s="86">
        <f>IF(SUM(AB364:AB369)=0,TIME(,0,),TIME(,SUM(AB364:AB369)+30,))</f>
        <v>0</v>
      </c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</row>
    <row r="371" ht="15.75" customHeight="1">
      <c r="A371" s="1" t="s">
        <v>56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3"/>
      <c r="V371" s="4">
        <f>V379+V386+V393+V400+V407</f>
        <v>17703</v>
      </c>
      <c r="W371" s="5">
        <f t="shared" si="932"/>
        <v>22.35227273</v>
      </c>
      <c r="X371" s="6"/>
      <c r="Y371" s="155">
        <v>0.01</v>
      </c>
      <c r="Z371" s="4" t="str">
        <f t="shared" ref="Z371:AB371" si="933">Z379+Z386+Z393+Z400+Z407</f>
        <v>#REF!</v>
      </c>
      <c r="AA371" s="4">
        <f t="shared" si="933"/>
        <v>792</v>
      </c>
      <c r="AB371" s="8">
        <f t="shared" si="933"/>
        <v>0.2118055556</v>
      </c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</row>
    <row r="372" ht="15.75" customHeight="1">
      <c r="A372" s="15" t="s">
        <v>1</v>
      </c>
      <c r="B372" s="16" t="s">
        <v>2</v>
      </c>
      <c r="C372" s="17" t="s">
        <v>3</v>
      </c>
      <c r="D372" s="18" t="s">
        <v>4</v>
      </c>
      <c r="E372" s="18" t="s">
        <v>5</v>
      </c>
      <c r="F372" s="16" t="s">
        <v>6</v>
      </c>
      <c r="G372" s="16" t="s">
        <v>7</v>
      </c>
      <c r="H372" s="16" t="s">
        <v>8</v>
      </c>
      <c r="I372" s="16" t="s">
        <v>9</v>
      </c>
      <c r="J372" s="16" t="s">
        <v>6</v>
      </c>
      <c r="K372" s="16" t="s">
        <v>7</v>
      </c>
      <c r="L372" s="16" t="s">
        <v>8</v>
      </c>
      <c r="M372" s="16" t="s">
        <v>9</v>
      </c>
      <c r="N372" s="16" t="s">
        <v>6</v>
      </c>
      <c r="O372" s="16" t="s">
        <v>7</v>
      </c>
      <c r="P372" s="16" t="s">
        <v>8</v>
      </c>
      <c r="Q372" s="16" t="s">
        <v>9</v>
      </c>
      <c r="R372" s="16" t="s">
        <v>6</v>
      </c>
      <c r="S372" s="16" t="s">
        <v>7</v>
      </c>
      <c r="T372" s="16" t="s">
        <v>8</v>
      </c>
      <c r="U372" s="16" t="s">
        <v>9</v>
      </c>
      <c r="V372" s="16" t="s">
        <v>10</v>
      </c>
      <c r="W372" s="18" t="s">
        <v>11</v>
      </c>
      <c r="X372" s="18" t="s">
        <v>12</v>
      </c>
      <c r="Y372" s="19" t="s">
        <v>13</v>
      </c>
      <c r="Z372" s="20" t="s">
        <v>14</v>
      </c>
      <c r="AA372" s="16" t="s">
        <v>15</v>
      </c>
      <c r="AB372" s="21" t="s">
        <v>16</v>
      </c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</row>
    <row r="373" ht="15.75" customHeight="1">
      <c r="A373" s="26" t="s">
        <v>17</v>
      </c>
      <c r="B373" s="27" t="s">
        <v>18</v>
      </c>
      <c r="C373" s="148" t="str">
        <f>IF(C336="","",C336)</f>
        <v>Ягодичный мост со штангой</v>
      </c>
      <c r="D373" s="29">
        <f t="shared" ref="D373:D378" si="935">D336</f>
        <v>1</v>
      </c>
      <c r="E373" s="30" t="str">
        <f t="shared" ref="E373:E407" si="936">IF(E336="","",E336)</f>
        <v/>
      </c>
      <c r="F373" s="31">
        <f t="shared" ref="F373:F378" si="937">IF(I373&lt;&gt;0,(IFERROR(IF($Y373&gt;50,MROUND($Y373*I373,2.5),IF($Y373&lt;15,MROUND($Y373*I373,0.1),MROUND($Y373*I373,1))),)),"")</f>
        <v>45</v>
      </c>
      <c r="G373" s="32">
        <v>12.0</v>
      </c>
      <c r="H373" s="32">
        <v>2.0</v>
      </c>
      <c r="I373" s="33">
        <v>0.45</v>
      </c>
      <c r="J373" s="31">
        <f t="shared" ref="J373:J378" si="938">IF(M373&lt;&gt;0,(IFERROR(IF($Y373&gt;50,MROUND($Y373*M373,2.5),IF($Y373&lt;15,MROUND($Y373*M373,0.1),MROUND($Y373*M373,1))),)),"")</f>
        <v>55</v>
      </c>
      <c r="K373" s="32">
        <v>10.0</v>
      </c>
      <c r="L373" s="32">
        <v>3.0</v>
      </c>
      <c r="M373" s="33">
        <v>0.56</v>
      </c>
      <c r="N373" s="31" t="str">
        <f t="shared" ref="N373:N378" si="939">IF(Q373&lt;&gt;0,(IFERROR(IF($Y373&gt;50,MROUND($Y373*Q373,2.5),IF($Y373&lt;15,MROUND($Y373*Q373,0.1),MROUND($Y373*Q373,1))),)),"")</f>
        <v/>
      </c>
      <c r="O373" s="32"/>
      <c r="P373" s="32"/>
      <c r="Q373" s="33">
        <v>0.0</v>
      </c>
      <c r="R373" s="31" t="str">
        <f t="shared" ref="R373:R378" si="940">IF(U373&lt;&gt;0,(IFERROR(IF($Y373&gt;50,MROUND($Y373*U373,2.5),IF($Y373&lt;15,MROUND($Y373*U373,0.1),MROUND($Y373*U373,1))),)),"")</f>
        <v/>
      </c>
      <c r="S373" s="32"/>
      <c r="T373" s="32"/>
      <c r="U373" s="34">
        <v>0.0</v>
      </c>
      <c r="V373" s="35">
        <f t="shared" ref="V373:V378" si="941">(IF(ISNUMBER(F373),F373,1)*G373*H373+IF(ISNUMBER(J373),J373,1)*K373*L373+IF(ISNUMBER(N373),N373,1)*O373*P373+IF(ISNUMBER(R373),R373,1)*S373*T373)*IF(ISNUMBER(E373),E373,1)</f>
        <v>2730</v>
      </c>
      <c r="W373" s="36">
        <f t="shared" ref="W373:W378" si="942">IFERROR((IF(ISNUMBER(F373),F373,1)*G373*H373+IF(ISNUMBER(J373),J373,1)*K373*L373+IF(ISNUMBER(N373),N373,1)*O373*P373+IF(ISNUMBER(R373),R373,1)*S373*T373)*IF(ISNUMBER(E373),E373,1)/(G373*H373+K373*L373+O373*P373+S373*T373),0)</f>
        <v>50.55555556</v>
      </c>
      <c r="X373" s="34">
        <f t="shared" ref="X373:X378" si="943">ROUND(IFERROR((W373/(Y373*IF(ISNUMBER(E373),E373,1))),0),2)</f>
        <v>0.51</v>
      </c>
      <c r="Y373" s="37">
        <f t="shared" ref="Y373:Y378" si="944">IF(ISNUMBER(Y336), Y336+(Y336*$Y$371),"")</f>
        <v>99.41599129</v>
      </c>
      <c r="Z373" s="36" t="str">
        <f t="shared" ref="Z373:Z378" si="945">(IF(I373&lt;30%,0,IF(I373&lt;35%,F373*G373*H373*F!$B$33,IF(I373&lt;40%,F373*G373*H373*F!$B$38,IF(I373&lt;45%,F373*G373*H373*F!$B$43,IF(I373&lt;50%,F373*G373*H373*F!$B$48,IF(I373=50%,F373*G373*H373*F!$B$50,IF(I373=51%,F373*G373*H373*F!$B$51,IF(I373=52%,F373*G373*H373*F!$B$52,IF(I373=53%,F373*G373*H373*F!$B$53,IF(I373=54%,F373*G373*H373*F!$B$54,IF(I373=55%,F373*G373*H373*F!$B$55,IF(I373=56%,F373*G373*H373*F!$B$56,IF(I373=57%,F373*G373*H373*F!$B$57,IF(I373=58%,F373*G373*H373*F!$B$58,IF(I373=59%,F373*G373*H373*F!$B$59,IF(I373=60%,F373*G373*H373*F!$B$60,IF(I373=61%,F373*G373*H373*F!$B$61,IF(I373=62%,F373*G373*H373*F!$B$62,IF(I373=63%,F373*G373*H373*F!$B$63,IF(I373=64%,F373*G373*H373*F!$B$64,IF(I373=65%,F373*G373*H373*F!$B$65,IF(I373=66%,F373*G373*H373*F!$B$66,IF(I373=67%,F373*G373*H373*F!$B$67,IF(I373=68%,F373*G373*H373*F!$B$68,IF(I373=69%,F373*G373*H373*F!$B$69,IF(I373=70%,F373*G373*H373*F!$B$70,IF(I373=71%,F373*G373*H373*F!$B$71,IF(I373=72%,F373*G373*H373*F!$B$72,IF(I373=73%,F373*G373*H373*F!$B$73,IF(I373=74%,F373*G373*H373*F!$B$74,IF(I373=75%,F373*G373*H373*F!$B$75,IF(I373=76%,F373*G373*H373*F!$B$76,IF(I373=77%,F373*G373*H373*F!$B$77,IF(I373=78%,F373*G373*H373*F!$B$78,IF(I373=79%,F373*G373*H373*F!$B$79,IF(I373=80%,F373*G373*H373*F!$B$80,IF(I373=81%,F373*G373*H373*F!$B$81,IF(I373=82%,F373*G373*H373*F!$B$82,IF(I373=83%,F373*G373*H373*F!$B$83,IF(I373=84%,F373*G373*H373*F!$B$84,IF(I373=85%,F373*G373*H373*F!$B$85,IF(I373=86%,F373*G373*H373*F!$B$86,IF(I373=87%,F373*G373*H373*F!$B$87,IF(I373=88%,F373*G373*H373*F!$B$88,IF(I373=89%,F373*G373*H373*F!$B$89,IF(I373=90%,F373*G373*H373*F!$B$90,IF(I373=91%,F373*G373*H373*F!$B$91,IF(I373=92%,F373*G373*H373*F!$B$92,IF(I373=93%,F373*G373*H373*F!$B$93,IF(I373=94%,F373*G373*H373*F!$B$94,IF(I373=95%,F373*G373*H373*F!$B$95,IF(I373=96%,F373*G373*H373*F!$B$96,IF(I373=97%,F373*G373*H373*F!$B$97,IF(I373=98%,F373*G373*H373*F!$B$98,IF(I373=99%,F373*G373*H373*F!$B$99,IF(I373&gt;99%,F373*G373*H373*F!$B$100,))))))))))))))))))))))))))))))))))))))))))))))))))))))))+IF(M373&lt;30%,0,IF(M373&lt;35%,J373*K373*L373*F!$B$33,IF(M373&lt;40%,J373*K373*L373*F!$B$38,IF(M373&lt;45%,J373*K373*L373*F!$B$43,IF(M373&lt;50%,J373*K373*L373*F!$B$48,IF(M373=50%,J373*K373*L373*F!$B$50,IF(M373=51%,J373*K373*L373*F!$B$51,IF(M373=52%,J373*K373*L373*F!$B$52,IF(M373=53%,J373*K373*L373*F!$B$53,IF(M373=54%,J373*K373*L373*F!$B$54,IF(M373=55%,J373*K373*L373*F!$B$55,IF(M373=56%,J373*K373*L373*F!$B$56,IF(M373=57%,J373*K373*L373*F!$B$57,IF(M373=58%,J373*K373*L373*F!$B$58,IF(M373=59%,J373*K373*L373*F!$B$59,IF(M373=60%,J373*K373*L373*F!$B$60,IF(M373=61%,J373*K373*L373*F!$B$61,IF(M373=62%,J373*K373*L373*F!$B$62,IF(M373=63%,J373*K373*L373*F!$B$63,IF(M373=64%,J373*K373*L373*F!$B$64,IF(M373=65%,J373*K373*L373*F!$B$65,IF(M373=66%,J373*K373*L373*F!$B$66,IF(M373=67%,J373*K373*L373*F!$B$67,IF(M373=68%,J373*K373*L373*F!$B$68,IF(M373=69%,J373*K373*L373*F!$B$69,IF(M373=70%,J373*K373*L373*F!$B$70,IF(M373=71%,J373*K373*L373*F!$B$71,IF(M373=72%,J373*K373*L373*F!$B$72,IF(M373=73%,J373*K373*L373*F!$B$73,IF(M373=74%,J373*K373*L373*F!$B$74,IF(M373=75%,J373*K373*L373*F!$B$75,IF(M373=76%,J373*K373*L373*F!$B$76,IF(M373=77%,J373*K373*L373*F!$B$77,IF(M373=78%,J373*K373*L373*F!$B$78,IF(M373=79%,J373*K373*L373*F!$B$79,IF(M373=80%,J373*K373*L373*F!$B$80,IF(M373=81%,J373*K373*L373*F!$B$81,IF(M373=82%,J373*K373*L373*F!$B$82,IF(M373=83%,J373*K373*L373*F!$B$83,IF(M373=84%,J373*K373*L373*F!$B$84,IF(M373=85%,J373*K373*L373*F!$B$85,IF(M373=86%,J373*K373*L373*F!$B$86,IF(M373=87%,J373*K373*L373*F!$B$87,IF(M373=88%,J373*K373*L373*F!$B$88,IF(M373=89%,J373*K373*L373*F!$B$89,IF(M373=90%,J373*K373*L373*F!$B$90,IF(M373=91%,J373*K373*L373*F!$B$91,IF(M373=92%,J373*K373*L373*F!$B$92,IF(M373=93%,J373*K373*L373*F!$B$93,IF(M373=94%,J373*K373*L373*F!$B$94,IF(M373=95%,J373*K373*L373*F!$B$95,IF(M373=96%,J373*K373*L373*F!$B$96,IF(M373=97%,J373*K373*L373*F!$B$97,IF(M373=98%,J373*K373*L373*F!$B$98,IF(M373=99%,J373*K373*L373*F!$B$99,IF(M373&gt;99%,J373*K373*L373*F!$B$100,))))))))))))))))))))))))))))))))))))))))))))))))))))))))+IF(Q373&lt;30%,0,IF(Q373&lt;35%,N373*O373*P373*F!$B$33,IF(Q373&lt;40%,N373*O373*P373*F!$B$38,IF(Q373&lt;45%,N373*O373*P373*F!$B$43,IF(Q373&lt;50%,N373*O373*P373*F!$B$48,IF(Q373=50%,N373*O373*P373*F!$B$50,IF(Q373=51%,N373*O373*P373*F!$B$51,IF(Q373=52%,N373*O373*P373*F!$B$52,IF(Q373=53%,N373*O373*P373*F!$B$53,IF(Q373=54%,N373*O373*P373*F!$B$54,IF(Q373=55%,N373*O373*P373*F!$B$55,IF(Q373=56%,N373*O373*P373*F!$B$56,IF(Q373=57%,N373*O373*P373*F!$B$57,IF(Q373=58%,N373*O373*P373*F!$B$58,IF(Q373=59%,N373*O373*P373*F!$B$59,IF(Q373=60%,N373*O373*P373*F!$B$60,IF(Q373=61%,N373*O373*P373*F!$B$61,IF(Q373=62%,N373*O373*P373*F!$B$62,IF(Q373=63%,N373*O373*P373*F!$B$63,IF(Q373=64%,N373*O373*P373*F!$B$64,IF(Q373=65%,N373*O373*P373*F!$B$65,IF(Q373=66%,N373*O373*P373*F!$B$66,IF(Q373=67%,N373*O373*P373*F!$B$67,IF(Q373=68%,N373*O373*P373*F!$B$68,IF(Q373=69%,N373*O373*P373*F!$B$69,IF(Q373=70%,N373*O373*P373*F!$B$70,IF(Q373=71%,N373*O373*P373*F!$B$71,IF(Q373=72%,N373*O373*P373*F!$B$72,IF(Q373=73%,N373*O373*P373*F!$B$73,IF(Q373=74%,N373*O373*P373*F!$B$74,IF(Q373=75%,N373*O373*P373*F!$B$75,IF(Q373=76%,N373*O373*P373*F!$B$76,IF(Q373=77%,N373*O373*P373*F!$B$77,IF(Q373=78%,N373*O373*P373*F!$B$78,IF(Q373=79%,N373*O373*P373*F!$B$79,IF(Q373=80%,N373*O373*P373*F!$B$80,IF(Q373=81%,N373*O373*P373*F!$B$81,IF(Q373=82%,N373*O373*P373*F!$B$82,IF(Q373=83%,N373*O373*P373*F!$B$83,IF(Q373=84%,N373*O373*P373*F!$B$84,IF(Q373=85%,N373*O373*P373*F!$B$85,IF(Q373=86%,N373*O373*P373*F!$B$86,IF(Q373=87%,N373*O373*P373*F!$B$87,IF(Q373=88%,N373*O373*P373*F!$B$88,IF(Q373=89%,N373*O373*P373*F!$B$89,IF(Q373=90%,N373*O373*P373*F!$B$90,IF(Q373=91%,N373*O373*P373*F!$B$91,IF(Q373=92%,N373*O373*P373*F!$B$92,IF(Q373=93%,N373*O373*P373*F!$B$93,IF(Q373=94%,N373*O373*P373*F!$B$94,IF(Q373=95%,N373*O373*P373*F!$B$95,IF(Q373=96%,N373*O373*P373*F!$B$96,IF(Q373=97%,N373*O373*P373*F!$B$97,IF(Q373=98%,N373*O373*P373*F!$B$98,IF(Q373=99%,N373*O373*P373*F!$B$99,IF(Q373&gt;99%,N373*O373*P373*F!$B$100,))))))))))))))))))))))))))))))))))))))))))))))))))))))))+IF(U373&lt;30%,0,IF(U373&lt;35%,R373*S373*T373*F!$B$33,IF(U373&lt;40%,R373*S373*T373*F!$B$38,IF(U373&lt;45%,R373*S373*T373*F!$B$43,IF(U373&lt;50%,R373*S373*T373*F!$B$48,IF(U373=50%,R373*S373*T373*F!$B$50,IF(U373=51%,R373*S373*T373*F!$B$51,IF(U373=52%,R373*S373*T373*F!$B$52,IF(U373=53%,R373*S373*T373*F!$B$53,IF(U373=54%,R373*S373*T373*F!$B$54,IF(U373=55%,R373*S373*T373*F!$B$55,IF(U373=56%,R373*S373*T373*F!$B$56,IF(U373=57%,R373*S373*T373*F!$B$57,IF(U373=58%,R373*S373*T373*F!$B$58,IF(U373=59%,R373*S373*T373*F!$B$59,IF(U373=60%,R373*S373*T373*F!$B$60,IF(U373=61%,R373*S373*T373*F!$B$61,IF(U373=62%,R373*S373*T373*F!$B$62,IF(U373=63%,R373*S373*T373*F!$B$63,IF(U373=64%,R373*S373*T373*F!$B$64,IF(U373=65%,R373*S373*T373*F!$B$65,IF(U373=66%,R373*S373*T373*F!$B$66,IF(U373=67%,R373*S373*T373*F!$B$67,IF(U373=68%,R373*S373*T373*F!$B$68,IF(U373=69%,R373*S373*T373*F!$B$69,IF(U373=70%,R373*S373*T373*F!$B$70,IF(U373=71%,R373*S373*T373*F!$B$71,IF(U373=72%,R373*S373*T373*F!$B$72,IF(U373=73%,R373*S373*T373*F!$B$73,IF(U373=74%,R373*S373*T373*F!$B$74,IF(U373=75%,R373*S373*T373*F!$B$75,IF(U373=76%,R373*S373*T373*F!$B$76,IF(U373=77%,R373*S373*T373*F!$B$77,IF(U373=78%,R373*S373*T373*F!$B$78,IF(U373=79%,R373*S373*T373*F!$B$79,IF(U373=80%,R373*S373*T373*F!$B$80,IF(U373=81%,R373*S373*T373*F!$B$81,IF(U373=82%,R373*S373*T373*F!$B$82,IF(U373=83%,R373*S373*T373*F!$B$83,IF(U373=84%,R373*S373*T373*F!$B$84,IF(U373=85%,R373*S373*T373*F!$B$85,IF(U373=86%,R373*S373*T373*F!$B$86,IF(U373=87%,R373*S373*T373*F!$B$87,IF(U373=88%,R373*S373*T373*F!$B$88,IF(U373=89%,R373*S373*T373*F!$B$89,IF(U373=90%,R373*S373*T373*F!$B$90,IF(U373=91%,R373*S373*T373*F!$B$91,IF(U373=92%,R373*S373*T373*F!$B$92,IF(U373=93%,R373*S373*T373*F!$B$93,IF(U373=94%,R373*S373*T373*F!$B$94,IF(U373=95%,R373*S373*T373*F!$B$95,IF(U373=96%,R373*S373*T373*F!$B$96,IF(U373=97%,R373*S373*T373*F!$B$97,IF(U373=98%,R373*S373*T373*F!$B$98,IF(U373=99%,R373*S373*T373*F!$B$99,IF(U373&gt;99%,R373*S373*T373*F!$B$100)))))))))))))))))))))))))))))))))))))))))))))))))))))))))*IF(ISNUMBER(E373),E373,1)*IF(ISNUMBER(D373),D373,1)</f>
        <v>#REF!</v>
      </c>
      <c r="AA373" s="32">
        <f t="shared" ref="AA373:AA378" si="946">G373*H373+K373*L373+O373*P373+S373*T373</f>
        <v>54</v>
      </c>
      <c r="AB373" s="38">
        <f t="shared" ref="AB373:AB378" si="947">(H373*(IF(I373&lt;45%,0.5,IF(I373&lt;55%,0.8,IF(I373&lt;65%,0.9,IF(I373&lt;75%,1,IF(I373&lt;85%,1.1,1.2))))))+L373*(IF(M373&lt;45%,0.5,IF(M373&lt;55%,0.8,IF(M373&lt;65%,0.9,IF(M373&lt;75%,1,IF(M373&lt;85%,1.1,1.2))))))+P373*(IF(Q373&lt;45%,0.5,IF(Q373&lt;55%,0.8,IF(Q373&lt;65%,0.9,IF(Q373&lt;75%,1,IF(Q373&lt;85%,1.1,1.2))))))+T373*(IF(U373&lt;45%,0.5,IF(U373&lt;55%,0.8,IF(U373&lt;65%,0.9,IF(U373&lt;75%,1,IF(U373&lt;85%,1.1,1.2)))))))*IF(D373&gt;=0.8,6,IF(D373&lt;=0.4,1.5,3))</f>
        <v>25.8</v>
      </c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</row>
    <row r="374" ht="15.0" customHeight="1">
      <c r="A374" s="43">
        <f>A337+7</f>
        <v>42401</v>
      </c>
      <c r="B374" s="44" t="str">
        <f t="shared" ref="B374:C374" si="934">IF(B337="","",B337)</f>
        <v>Средняя</v>
      </c>
      <c r="C374" s="149" t="str">
        <f t="shared" si="934"/>
        <v>Болгарские выпады</v>
      </c>
      <c r="D374" s="46">
        <f t="shared" si="935"/>
        <v>0.3</v>
      </c>
      <c r="E374" s="47" t="str">
        <f t="shared" si="936"/>
        <v/>
      </c>
      <c r="F374" s="48">
        <f t="shared" si="937"/>
        <v>17</v>
      </c>
      <c r="G374" s="49">
        <v>12.0</v>
      </c>
      <c r="H374" s="49">
        <v>3.0</v>
      </c>
      <c r="I374" s="50">
        <v>0.5</v>
      </c>
      <c r="J374" s="48" t="str">
        <f t="shared" si="938"/>
        <v/>
      </c>
      <c r="K374" s="49"/>
      <c r="L374" s="49"/>
      <c r="M374" s="50">
        <v>0.0</v>
      </c>
      <c r="N374" s="48" t="str">
        <f t="shared" si="939"/>
        <v/>
      </c>
      <c r="O374" s="49"/>
      <c r="P374" s="49"/>
      <c r="Q374" s="50">
        <v>0.0</v>
      </c>
      <c r="R374" s="48" t="str">
        <f t="shared" si="940"/>
        <v/>
      </c>
      <c r="S374" s="49"/>
      <c r="T374" s="49"/>
      <c r="U374" s="51">
        <v>0.0</v>
      </c>
      <c r="V374" s="52">
        <f t="shared" si="941"/>
        <v>612</v>
      </c>
      <c r="W374" s="53">
        <f t="shared" si="942"/>
        <v>17</v>
      </c>
      <c r="X374" s="54">
        <f t="shared" si="943"/>
        <v>0.51</v>
      </c>
      <c r="Y374" s="137">
        <f t="shared" si="944"/>
        <v>33.13866376</v>
      </c>
      <c r="Z374" s="53" t="str">
        <f t="shared" si="945"/>
        <v>#REF!</v>
      </c>
      <c r="AA374" s="49">
        <f t="shared" si="946"/>
        <v>36</v>
      </c>
      <c r="AB374" s="56">
        <f t="shared" si="947"/>
        <v>3.6</v>
      </c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</row>
    <row r="375" ht="15.75" customHeight="1">
      <c r="A375" s="57"/>
      <c r="B375" s="44" t="s">
        <v>20</v>
      </c>
      <c r="C375" s="149" t="str">
        <f>IF(C338="","",C338)</f>
        <v>Разведение ног в тренажёре</v>
      </c>
      <c r="D375" s="46">
        <f t="shared" si="935"/>
        <v>0.3</v>
      </c>
      <c r="E375" s="47">
        <f t="shared" si="936"/>
        <v>5</v>
      </c>
      <c r="F375" s="59">
        <f t="shared" si="937"/>
        <v>3.9</v>
      </c>
      <c r="G375" s="60">
        <v>10.0</v>
      </c>
      <c r="H375" s="60">
        <v>5.0</v>
      </c>
      <c r="I375" s="61">
        <v>0.35</v>
      </c>
      <c r="J375" s="59" t="str">
        <f t="shared" si="938"/>
        <v/>
      </c>
      <c r="K375" s="60"/>
      <c r="L375" s="60"/>
      <c r="M375" s="61">
        <v>0.0</v>
      </c>
      <c r="N375" s="59" t="str">
        <f t="shared" si="939"/>
        <v/>
      </c>
      <c r="O375" s="60"/>
      <c r="P375" s="60"/>
      <c r="Q375" s="61">
        <v>0.0</v>
      </c>
      <c r="R375" s="59" t="str">
        <f t="shared" si="940"/>
        <v/>
      </c>
      <c r="S375" s="60"/>
      <c r="T375" s="60"/>
      <c r="U375" s="62">
        <v>0.0</v>
      </c>
      <c r="V375" s="63">
        <f t="shared" si="941"/>
        <v>975</v>
      </c>
      <c r="W375" s="64">
        <f t="shared" si="942"/>
        <v>19.5</v>
      </c>
      <c r="X375" s="65">
        <f t="shared" si="943"/>
        <v>0.35</v>
      </c>
      <c r="Y375" s="137">
        <f t="shared" si="944"/>
        <v>11.04622125</v>
      </c>
      <c r="Z375" s="64" t="str">
        <f t="shared" si="945"/>
        <v>#REF!</v>
      </c>
      <c r="AA375" s="60">
        <f t="shared" si="946"/>
        <v>50</v>
      </c>
      <c r="AB375" s="66">
        <f t="shared" si="947"/>
        <v>3.75</v>
      </c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 ht="15.75" customHeight="1">
      <c r="A376" s="57"/>
      <c r="B376" s="44" t="str">
        <f t="shared" ref="B376:C376" si="948">IF(B339="","",B339)</f>
        <v>Тяжелая</v>
      </c>
      <c r="C376" s="149" t="str">
        <f t="shared" si="948"/>
        <v>Присед</v>
      </c>
      <c r="D376" s="46">
        <f t="shared" si="935"/>
        <v>1.2</v>
      </c>
      <c r="E376" s="47" t="str">
        <f t="shared" si="936"/>
        <v/>
      </c>
      <c r="F376" s="48">
        <f t="shared" si="937"/>
        <v>27.5</v>
      </c>
      <c r="G376" s="49">
        <v>12.0</v>
      </c>
      <c r="H376" s="49">
        <v>1.0</v>
      </c>
      <c r="I376" s="50">
        <v>0.52</v>
      </c>
      <c r="J376" s="67">
        <f t="shared" si="938"/>
        <v>32.5</v>
      </c>
      <c r="K376" s="49">
        <v>10.0</v>
      </c>
      <c r="L376" s="49">
        <v>1.0</v>
      </c>
      <c r="M376" s="50">
        <v>0.58</v>
      </c>
      <c r="N376" s="48">
        <f t="shared" si="939"/>
        <v>35</v>
      </c>
      <c r="O376" s="49">
        <v>8.0</v>
      </c>
      <c r="P376" s="49">
        <v>3.0</v>
      </c>
      <c r="Q376" s="50">
        <v>0.64</v>
      </c>
      <c r="R376" s="48" t="str">
        <f t="shared" si="940"/>
        <v/>
      </c>
      <c r="S376" s="49"/>
      <c r="T376" s="49"/>
      <c r="U376" s="51">
        <v>0.0</v>
      </c>
      <c r="V376" s="52">
        <f t="shared" si="941"/>
        <v>1495</v>
      </c>
      <c r="W376" s="53">
        <f t="shared" si="942"/>
        <v>32.5</v>
      </c>
      <c r="X376" s="54">
        <f t="shared" si="943"/>
        <v>0.59</v>
      </c>
      <c r="Y376" s="137">
        <f t="shared" si="944"/>
        <v>55.23110627</v>
      </c>
      <c r="Z376" s="53" t="str">
        <f t="shared" si="945"/>
        <v>#REF!</v>
      </c>
      <c r="AA376" s="49">
        <f t="shared" si="946"/>
        <v>46</v>
      </c>
      <c r="AB376" s="56">
        <f t="shared" si="947"/>
        <v>26.4</v>
      </c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</row>
    <row r="377" ht="15.75" customHeight="1">
      <c r="A377" s="57"/>
      <c r="B377" s="44" t="s">
        <v>18</v>
      </c>
      <c r="C377" s="149" t="str">
        <f>IF(C340="","",C340)</f>
        <v>Жим гантелей вверх</v>
      </c>
      <c r="D377" s="46">
        <f t="shared" si="935"/>
        <v>1.2</v>
      </c>
      <c r="E377" s="47">
        <f t="shared" si="936"/>
        <v>2</v>
      </c>
      <c r="F377" s="59">
        <f t="shared" si="937"/>
        <v>3.5</v>
      </c>
      <c r="G377" s="60">
        <v>10.0</v>
      </c>
      <c r="H377" s="60">
        <v>2.0</v>
      </c>
      <c r="I377" s="61">
        <v>0.45</v>
      </c>
      <c r="J377" s="59">
        <f t="shared" si="938"/>
        <v>4.5</v>
      </c>
      <c r="K377" s="60">
        <v>8.0</v>
      </c>
      <c r="L377" s="60">
        <v>3.0</v>
      </c>
      <c r="M377" s="61">
        <v>0.58</v>
      </c>
      <c r="N377" s="59" t="str">
        <f t="shared" si="939"/>
        <v/>
      </c>
      <c r="O377" s="60"/>
      <c r="P377" s="60"/>
      <c r="Q377" s="61">
        <v>0.0</v>
      </c>
      <c r="R377" s="59" t="str">
        <f t="shared" si="940"/>
        <v/>
      </c>
      <c r="S377" s="60"/>
      <c r="T377" s="60"/>
      <c r="U377" s="62">
        <v>0.0</v>
      </c>
      <c r="V377" s="63">
        <f t="shared" si="941"/>
        <v>356</v>
      </c>
      <c r="W377" s="64">
        <f t="shared" si="942"/>
        <v>8.090909091</v>
      </c>
      <c r="X377" s="62">
        <f t="shared" si="943"/>
        <v>0.52</v>
      </c>
      <c r="Y377" s="137">
        <f t="shared" si="944"/>
        <v>7.732354878</v>
      </c>
      <c r="Z377" s="64" t="str">
        <f t="shared" si="945"/>
        <v>#REF!</v>
      </c>
      <c r="AA377" s="60">
        <f t="shared" si="946"/>
        <v>44</v>
      </c>
      <c r="AB377" s="66">
        <f t="shared" si="947"/>
        <v>25.8</v>
      </c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</row>
    <row r="378" ht="15.75" customHeight="1">
      <c r="A378" s="57"/>
      <c r="B378" s="44" t="str">
        <f t="shared" ref="B378:C378" si="949">IF(B341="","",B341)</f>
        <v>Средняя</v>
      </c>
      <c r="C378" s="149" t="str">
        <f t="shared" si="949"/>
        <v>Разведение гантелей в стороны</v>
      </c>
      <c r="D378" s="46">
        <f t="shared" si="935"/>
        <v>0.4</v>
      </c>
      <c r="E378" s="47">
        <f t="shared" si="936"/>
        <v>2</v>
      </c>
      <c r="F378" s="48">
        <f t="shared" si="937"/>
        <v>3.3</v>
      </c>
      <c r="G378" s="49">
        <v>10.0</v>
      </c>
      <c r="H378" s="49">
        <v>3.0</v>
      </c>
      <c r="I378" s="50">
        <v>0.5</v>
      </c>
      <c r="J378" s="48" t="str">
        <f t="shared" si="938"/>
        <v/>
      </c>
      <c r="K378" s="49"/>
      <c r="L378" s="49"/>
      <c r="M378" s="50">
        <v>0.0</v>
      </c>
      <c r="N378" s="48" t="str">
        <f t="shared" si="939"/>
        <v/>
      </c>
      <c r="O378" s="49"/>
      <c r="P378" s="49"/>
      <c r="Q378" s="50">
        <v>0.0</v>
      </c>
      <c r="R378" s="48" t="str">
        <f t="shared" si="940"/>
        <v/>
      </c>
      <c r="S378" s="49"/>
      <c r="T378" s="49"/>
      <c r="U378" s="51">
        <v>0.0</v>
      </c>
      <c r="V378" s="52">
        <f t="shared" si="941"/>
        <v>198</v>
      </c>
      <c r="W378" s="53">
        <f t="shared" si="942"/>
        <v>6.6</v>
      </c>
      <c r="X378" s="54">
        <f t="shared" si="943"/>
        <v>0.5</v>
      </c>
      <c r="Y378" s="137">
        <f t="shared" si="944"/>
        <v>6.627732752</v>
      </c>
      <c r="Z378" s="53" t="str">
        <f t="shared" si="945"/>
        <v>#REF!</v>
      </c>
      <c r="AA378" s="49">
        <f t="shared" si="946"/>
        <v>30</v>
      </c>
      <c r="AB378" s="56">
        <f t="shared" si="947"/>
        <v>3.6</v>
      </c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</row>
    <row r="379" ht="15.75" customHeight="1">
      <c r="A379" s="72"/>
      <c r="B379" s="73" t="str">
        <f t="shared" ref="B379:C379" si="950">IF(B342="","",B342)</f>
        <v/>
      </c>
      <c r="C379" s="174" t="str">
        <f t="shared" si="950"/>
        <v>Разгибание рук на блоке</v>
      </c>
      <c r="D379" s="75">
        <f>ROUND(IFERROR((D373*(G373*H373+K373*L373+O373*P373+S373*T373)+D374*(G374*H374+K374*L374+O374*P374+S374*T374)+D375*(G375*H375+K375*L375+O375*P375+S375*T375)+D376*(G376*H376+K376*L376+O376*P376+S376*T376)+D377*(G377*H377+K377*L377+O377*P377+S377*T377)+D378*(G378*H378+K378*L378+O378*P378+S378*T378))/((G373*H373+K373*L373+O373*P373+S373*T373)+(G374*H374+K374*L374+O374*P374+S374*T374)+(G375*H375+K375*L375+O375*P375+S375*T375)+(G376*H376+K376*L376+O376*P376+S376*T376)+(G377*H377+K377*L377+O377*P377+S377*T377)+(G378*H378+K378*L378+O378*P378+S378*T378)),0),2)</f>
        <v>0.77</v>
      </c>
      <c r="E379" s="76" t="str">
        <f t="shared" si="936"/>
        <v/>
      </c>
      <c r="F379" s="77"/>
      <c r="G379" s="78"/>
      <c r="H379" s="78"/>
      <c r="I379" s="79"/>
      <c r="J379" s="77"/>
      <c r="K379" s="78"/>
      <c r="L379" s="78"/>
      <c r="M379" s="79"/>
      <c r="N379" s="77"/>
      <c r="O379" s="78"/>
      <c r="P379" s="78"/>
      <c r="Q379" s="79"/>
      <c r="R379" s="77"/>
      <c r="S379" s="78"/>
      <c r="T379" s="78"/>
      <c r="U379" s="80"/>
      <c r="V379" s="81">
        <f>SUM(V373:V378)</f>
        <v>6366</v>
      </c>
      <c r="W379" s="82">
        <f>IFERROR(V379/AA379,0)</f>
        <v>24.48461538</v>
      </c>
      <c r="X379" s="83">
        <f>ROUND(IFERROR(((I373*G373*H373+M373*K373*L373+Q373*O373*P373+U373*S373*T373)+(I374*G374*H374+M374*K374*L374+Q374*O374*P374+U374*S374*T374)+(I375*G375*H375+M375*K375*L375+Q375*O375*P375+U375*S375*T375)+(I376*G376*H376+M376*K376*L376+Q376*O376*P376+U376*S376*T376)+(I377*G377*H377+M377*K377*L377+Q377*O377*P377+U377*S377*T377)+(I378*G378*H378+M378*K378*L378+Q378*O378*P378+U378*S378*T378))/((G373*H373+K373*L373+O373*P373+S373*T373)+(G374*H374+K374*L374+O374*P374+S374*T374)+(G375*H375+K375*L375+O375*P375+S375*T375)+(G376*H376+K376*L376+O376*P376+S376*T376)+(G377*H377+K377*L377+O377*P377+S377*T377)+(G378*H378+K378*L378+O378*P378+S378*T378)),0),3)</f>
        <v>0.494</v>
      </c>
      <c r="Y379" s="84"/>
      <c r="Z379" s="82" t="str">
        <f t="shared" ref="Z379:AA379" si="951">SUM(Z373:Z378)</f>
        <v>#REF!</v>
      </c>
      <c r="AA379" s="85">
        <f t="shared" si="951"/>
        <v>260</v>
      </c>
      <c r="AB379" s="86">
        <f>IF(SUM(AB373:AB378)=0,TIME(,0,),TIME(,SUM(AB373:AB378)+30,))</f>
        <v>0.08194444444</v>
      </c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</row>
    <row r="380" ht="15.75" customHeight="1">
      <c r="A380" s="88" t="s">
        <v>28</v>
      </c>
      <c r="B380" s="89" t="str">
        <f t="shared" ref="B380:C380" si="952">IF(B343="","",B343)</f>
        <v>Тяжелая</v>
      </c>
      <c r="C380" s="141" t="str">
        <f t="shared" si="952"/>
        <v>Румынская тяга</v>
      </c>
      <c r="D380" s="29">
        <f t="shared" ref="D380:D385" si="953">D343</f>
        <v>1</v>
      </c>
      <c r="E380" s="91" t="str">
        <f t="shared" si="936"/>
        <v/>
      </c>
      <c r="F380" s="92">
        <f t="shared" ref="F380:F385" si="954">IF(I380&lt;&gt;0,(IFERROR(IF($Y380&gt;50,MROUND($Y380*I380,2.5),IF($Y380&lt;15,MROUND($Y380*I380,0.1),MROUND($Y380*I380,1))),)),"")</f>
        <v>27.5</v>
      </c>
      <c r="G380" s="93">
        <v>12.0</v>
      </c>
      <c r="H380" s="93">
        <v>1.0</v>
      </c>
      <c r="I380" s="94">
        <v>0.45</v>
      </c>
      <c r="J380" s="92">
        <f t="shared" ref="J380:J385" si="955">IF(M380&lt;&gt;0,(IFERROR(IF($Y380&gt;50,MROUND($Y380*M380,2.5),IF($Y380&lt;15,MROUND($Y380*M380,0.1),MROUND($Y380*M380,1))),)),"")</f>
        <v>32.5</v>
      </c>
      <c r="K380" s="93">
        <v>10.0</v>
      </c>
      <c r="L380" s="93">
        <v>1.0</v>
      </c>
      <c r="M380" s="94">
        <v>0.55</v>
      </c>
      <c r="N380" s="92">
        <f t="shared" ref="N380:N385" si="956">IF(Q380&lt;&gt;0,(IFERROR(IF($Y380&gt;50,MROUND($Y380*Q380,2.5),IF($Y380&lt;15,MROUND($Y380*Q380,0.1),MROUND($Y380*Q380,1))),)),"")</f>
        <v>37.5</v>
      </c>
      <c r="O380" s="93">
        <v>10.0</v>
      </c>
      <c r="P380" s="93">
        <v>3.0</v>
      </c>
      <c r="Q380" s="94">
        <v>0.62</v>
      </c>
      <c r="R380" s="92" t="str">
        <f t="shared" ref="R380:R385" si="957">IF(U380&lt;&gt;0,(IFERROR(IF($Y380&gt;50,MROUND($Y380*U380,2.5),IF($Y380&lt;15,MROUND($Y380*U380,0.1),MROUND($Y380*U380,1))),)),"")</f>
        <v/>
      </c>
      <c r="S380" s="93"/>
      <c r="T380" s="93"/>
      <c r="U380" s="94">
        <v>0.0</v>
      </c>
      <c r="V380" s="95">
        <f t="shared" ref="V380:V385" si="958">(IF(ISNUMBER(F380),F380,1)*G380*H380+IF(ISNUMBER(J380),J380,1)*K380*L380+IF(ISNUMBER(N380),N380,1)*O380*P380+IF(ISNUMBER(R380),R380,1)*S380*T380)*IF(ISNUMBER(E380),E380,1)</f>
        <v>1780</v>
      </c>
      <c r="W380" s="96">
        <f t="shared" ref="W380:W385" si="959">IFERROR((IF(ISNUMBER(F380),F380,1)*G380*H380+IF(ISNUMBER(J380),J380,1)*K380*L380+IF(ISNUMBER(N380),N380,1)*O380*P380+IF(ISNUMBER(R380),R380,1)*S380*T380)*IF(ISNUMBER(E380),E380,1)/(G380*H380+K380*L380+O380*P380+S380*T380),0)</f>
        <v>34.23076923</v>
      </c>
      <c r="X380" s="97">
        <f t="shared" ref="X380:X385" si="960">ROUND(IFERROR((W380/(Y380*IF(ISNUMBER(E380),E380,1))),0),2)</f>
        <v>0.56</v>
      </c>
      <c r="Y380" s="37">
        <f t="shared" ref="Y380:Y385" si="961">IF(ISNUMBER(Y343), Y343+(Y343*$Y$371),"")</f>
        <v>60.7542169</v>
      </c>
      <c r="Z380" s="96" t="str">
        <f t="shared" ref="Z380:Z385" si="962">(IF(I380&lt;30%,0,IF(I380&lt;35%,F380*G380*H380*F!$B$33,IF(I380&lt;40%,F380*G380*H380*F!$B$38,IF(I380&lt;45%,F380*G380*H380*F!$B$43,IF(I380&lt;50%,F380*G380*H380*F!$B$48,IF(I380=50%,F380*G380*H380*F!$B$50,IF(I380=51%,F380*G380*H380*F!$B$51,IF(I380=52%,F380*G380*H380*F!$B$52,IF(I380=53%,F380*G380*H380*F!$B$53,IF(I380=54%,F380*G380*H380*F!$B$54,IF(I380=55%,F380*G380*H380*F!$B$55,IF(I380=56%,F380*G380*H380*F!$B$56,IF(I380=57%,F380*G380*H380*F!$B$57,IF(I380=58%,F380*G380*H380*F!$B$58,IF(I380=59%,F380*G380*H380*F!$B$59,IF(I380=60%,F380*G380*H380*F!$B$60,IF(I380=61%,F380*G380*H380*F!$B$61,IF(I380=62%,F380*G380*H380*F!$B$62,IF(I380=63%,F380*G380*H380*F!$B$63,IF(I380=64%,F380*G380*H380*F!$B$64,IF(I380=65%,F380*G380*H380*F!$B$65,IF(I380=66%,F380*G380*H380*F!$B$66,IF(I380=67%,F380*G380*H380*F!$B$67,IF(I380=68%,F380*G380*H380*F!$B$68,IF(I380=69%,F380*G380*H380*F!$B$69,IF(I380=70%,F380*G380*H380*F!$B$70,IF(I380=71%,F380*G380*H380*F!$B$71,IF(I380=72%,F380*G380*H380*F!$B$72,IF(I380=73%,F380*G380*H380*F!$B$73,IF(I380=74%,F380*G380*H380*F!$B$74,IF(I380=75%,F380*G380*H380*F!$B$75,IF(I380=76%,F380*G380*H380*F!$B$76,IF(I380=77%,F380*G380*H380*F!$B$77,IF(I380=78%,F380*G380*H380*F!$B$78,IF(I380=79%,F380*G380*H380*F!$B$79,IF(I380=80%,F380*G380*H380*F!$B$80,IF(I380=81%,F380*G380*H380*F!$B$81,IF(I380=82%,F380*G380*H380*F!$B$82,IF(I380=83%,F380*G380*H380*F!$B$83,IF(I380=84%,F380*G380*H380*F!$B$84,IF(I380=85%,F380*G380*H380*F!$B$85,IF(I380=86%,F380*G380*H380*F!$B$86,IF(I380=87%,F380*G380*H380*F!$B$87,IF(I380=88%,F380*G380*H380*F!$B$88,IF(I380=89%,F380*G380*H380*F!$B$89,IF(I380=90%,F380*G380*H380*F!$B$90,IF(I380=91%,F380*G380*H380*F!$B$91,IF(I380=92%,F380*G380*H380*F!$B$92,IF(I380=93%,F380*G380*H380*F!$B$93,IF(I380=94%,F380*G380*H380*F!$B$94,IF(I380=95%,F380*G380*H380*F!$B$95,IF(I380=96%,F380*G380*H380*F!$B$96,IF(I380=97%,F380*G380*H380*F!$B$97,IF(I380=98%,F380*G380*H380*F!$B$98,IF(I380=99%,F380*G380*H380*F!$B$99,IF(I380&gt;99%,F380*G380*H380*F!$B$100,))))))))))))))))))))))))))))))))))))))))))))))))))))))))+IF(M380&lt;30%,0,IF(M380&lt;35%,J380*K380*L380*F!$B$33,IF(M380&lt;40%,J380*K380*L380*F!$B$38,IF(M380&lt;45%,J380*K380*L380*F!$B$43,IF(M380&lt;50%,J380*K380*L380*F!$B$48,IF(M380=50%,J380*K380*L380*F!$B$50,IF(M380=51%,J380*K380*L380*F!$B$51,IF(M380=52%,J380*K380*L380*F!$B$52,IF(M380=53%,J380*K380*L380*F!$B$53,IF(M380=54%,J380*K380*L380*F!$B$54,IF(M380=55%,J380*K380*L380*F!$B$55,IF(M380=56%,J380*K380*L380*F!$B$56,IF(M380=57%,J380*K380*L380*F!$B$57,IF(M380=58%,J380*K380*L380*F!$B$58,IF(M380=59%,J380*K380*L380*F!$B$59,IF(M380=60%,J380*K380*L380*F!$B$60,IF(M380=61%,J380*K380*L380*F!$B$61,IF(M380=62%,J380*K380*L380*F!$B$62,IF(M380=63%,J380*K380*L380*F!$B$63,IF(M380=64%,J380*K380*L380*F!$B$64,IF(M380=65%,J380*K380*L380*F!$B$65,IF(M380=66%,J380*K380*L380*F!$B$66,IF(M380=67%,J380*K380*L380*F!$B$67,IF(M380=68%,J380*K380*L380*F!$B$68,IF(M380=69%,J380*K380*L380*F!$B$69,IF(M380=70%,J380*K380*L380*F!$B$70,IF(M380=71%,J380*K380*L380*F!$B$71,IF(M380=72%,J380*K380*L380*F!$B$72,IF(M380=73%,J380*K380*L380*F!$B$73,IF(M380=74%,J380*K380*L380*F!$B$74,IF(M380=75%,J380*K380*L380*F!$B$75,IF(M380=76%,J380*K380*L380*F!$B$76,IF(M380=77%,J380*K380*L380*F!$B$77,IF(M380=78%,J380*K380*L380*F!$B$78,IF(M380=79%,J380*K380*L380*F!$B$79,IF(M380=80%,J380*K380*L380*F!$B$80,IF(M380=81%,J380*K380*L380*F!$B$81,IF(M380=82%,J380*K380*L380*F!$B$82,IF(M380=83%,J380*K380*L380*F!$B$83,IF(M380=84%,J380*K380*L380*F!$B$84,IF(M380=85%,J380*K380*L380*F!$B$85,IF(M380=86%,J380*K380*L380*F!$B$86,IF(M380=87%,J380*K380*L380*F!$B$87,IF(M380=88%,J380*K380*L380*F!$B$88,IF(M380=89%,J380*K380*L380*F!$B$89,IF(M380=90%,J380*K380*L380*F!$B$90,IF(M380=91%,J380*K380*L380*F!$B$91,IF(M380=92%,J380*K380*L380*F!$B$92,IF(M380=93%,J380*K380*L380*F!$B$93,IF(M380=94%,J380*K380*L380*F!$B$94,IF(M380=95%,J380*K380*L380*F!$B$95,IF(M380=96%,J380*K380*L380*F!$B$96,IF(M380=97%,J380*K380*L380*F!$B$97,IF(M380=98%,J380*K380*L380*F!$B$98,IF(M380=99%,J380*K380*L380*F!$B$99,IF(M380&gt;99%,J380*K380*L380*F!$B$100,))))))))))))))))))))))))))))))))))))))))))))))))))))))))+IF(Q380&lt;30%,0,IF(Q380&lt;35%,N380*O380*P380*F!$B$33,IF(Q380&lt;40%,N380*O380*P380*F!$B$38,IF(Q380&lt;45%,N380*O380*P380*F!$B$43,IF(Q380&lt;50%,N380*O380*P380*F!$B$48,IF(Q380=50%,N380*O380*P380*F!$B$50,IF(Q380=51%,N380*O380*P380*F!$B$51,IF(Q380=52%,N380*O380*P380*F!$B$52,IF(Q380=53%,N380*O380*P380*F!$B$53,IF(Q380=54%,N380*O380*P380*F!$B$54,IF(Q380=55%,N380*O380*P380*F!$B$55,IF(Q380=56%,N380*O380*P380*F!$B$56,IF(Q380=57%,N380*O380*P380*F!$B$57,IF(Q380=58%,N380*O380*P380*F!$B$58,IF(Q380=59%,N380*O380*P380*F!$B$59,IF(Q380=60%,N380*O380*P380*F!$B$60,IF(Q380=61%,N380*O380*P380*F!$B$61,IF(Q380=62%,N380*O380*P380*F!$B$62,IF(Q380=63%,N380*O380*P380*F!$B$63,IF(Q380=64%,N380*O380*P380*F!$B$64,IF(Q380=65%,N380*O380*P380*F!$B$65,IF(Q380=66%,N380*O380*P380*F!$B$66,IF(Q380=67%,N380*O380*P380*F!$B$67,IF(Q380=68%,N380*O380*P380*F!$B$68,IF(Q380=69%,N380*O380*P380*F!$B$69,IF(Q380=70%,N380*O380*P380*F!$B$70,IF(Q380=71%,N380*O380*P380*F!$B$71,IF(Q380=72%,N380*O380*P380*F!$B$72,IF(Q380=73%,N380*O380*P380*F!$B$73,IF(Q380=74%,N380*O380*P380*F!$B$74,IF(Q380=75%,N380*O380*P380*F!$B$75,IF(Q380=76%,N380*O380*P380*F!$B$76,IF(Q380=77%,N380*O380*P380*F!$B$77,IF(Q380=78%,N380*O380*P380*F!$B$78,IF(Q380=79%,N380*O380*P380*F!$B$79,IF(Q380=80%,N380*O380*P380*F!$B$80,IF(Q380=81%,N380*O380*P380*F!$B$81,IF(Q380=82%,N380*O380*P380*F!$B$82,IF(Q380=83%,N380*O380*P380*F!$B$83,IF(Q380=84%,N380*O380*P380*F!$B$84,IF(Q380=85%,N380*O380*P380*F!$B$85,IF(Q380=86%,N380*O380*P380*F!$B$86,IF(Q380=87%,N380*O380*P380*F!$B$87,IF(Q380=88%,N380*O380*P380*F!$B$88,IF(Q380=89%,N380*O380*P380*F!$B$89,IF(Q380=90%,N380*O380*P380*F!$B$90,IF(Q380=91%,N380*O380*P380*F!$B$91,IF(Q380=92%,N380*O380*P380*F!$B$92,IF(Q380=93%,N380*O380*P380*F!$B$93,IF(Q380=94%,N380*O380*P380*F!$B$94,IF(Q380=95%,N380*O380*P380*F!$B$95,IF(Q380=96%,N380*O380*P380*F!$B$96,IF(Q380=97%,N380*O380*P380*F!$B$97,IF(Q380=98%,N380*O380*P380*F!$B$98,IF(Q380=99%,N380*O380*P380*F!$B$99,IF(Q380&gt;99%,N380*O380*P380*F!$B$100,))))))))))))))))))))))))))))))))))))))))))))))))))))))))+IF(U380&lt;30%,0,IF(U380&lt;35%,R380*S380*T380*F!$B$33,IF(U380&lt;40%,R380*S380*T380*F!$B$38,IF(U380&lt;45%,R380*S380*T380*F!$B$43,IF(U380&lt;50%,R380*S380*T380*F!$B$48,IF(U380=50%,R380*S380*T380*F!$B$50,IF(U380=51%,R380*S380*T380*F!$B$51,IF(U380=52%,R380*S380*T380*F!$B$52,IF(U380=53%,R380*S380*T380*F!$B$53,IF(U380=54%,R380*S380*T380*F!$B$54,IF(U380=55%,R380*S380*T380*F!$B$55,IF(U380=56%,R380*S380*T380*F!$B$56,IF(U380=57%,R380*S380*T380*F!$B$57,IF(U380=58%,R380*S380*T380*F!$B$58,IF(U380=59%,R380*S380*T380*F!$B$59,IF(U380=60%,R380*S380*T380*F!$B$60,IF(U380=61%,R380*S380*T380*F!$B$61,IF(U380=62%,R380*S380*T380*F!$B$62,IF(U380=63%,R380*S380*T380*F!$B$63,IF(U380=64%,R380*S380*T380*F!$B$64,IF(U380=65%,R380*S380*T380*F!$B$65,IF(U380=66%,R380*S380*T380*F!$B$66,IF(U380=67%,R380*S380*T380*F!$B$67,IF(U380=68%,R380*S380*T380*F!$B$68,IF(U380=69%,R380*S380*T380*F!$B$69,IF(U380=70%,R380*S380*T380*F!$B$70,IF(U380=71%,R380*S380*T380*F!$B$71,IF(U380=72%,R380*S380*T380*F!$B$72,IF(U380=73%,R380*S380*T380*F!$B$73,IF(U380=74%,R380*S380*T380*F!$B$74,IF(U380=75%,R380*S380*T380*F!$B$75,IF(U380=76%,R380*S380*T380*F!$B$76,IF(U380=77%,R380*S380*T380*F!$B$77,IF(U380=78%,R380*S380*T380*F!$B$78,IF(U380=79%,R380*S380*T380*F!$B$79,IF(U380=80%,R380*S380*T380*F!$B$80,IF(U380=81%,R380*S380*T380*F!$B$81,IF(U380=82%,R380*S380*T380*F!$B$82,IF(U380=83%,R380*S380*T380*F!$B$83,IF(U380=84%,R380*S380*T380*F!$B$84,IF(U380=85%,R380*S380*T380*F!$B$85,IF(U380=86%,R380*S380*T380*F!$B$86,IF(U380=87%,R380*S380*T380*F!$B$87,IF(U380=88%,R380*S380*T380*F!$B$88,IF(U380=89%,R380*S380*T380*F!$B$89,IF(U380=90%,R380*S380*T380*F!$B$90,IF(U380=91%,R380*S380*T380*F!$B$91,IF(U380=92%,R380*S380*T380*F!$B$92,IF(U380=93%,R380*S380*T380*F!$B$93,IF(U380=94%,R380*S380*T380*F!$B$94,IF(U380=95%,R380*S380*T380*F!$B$95,IF(U380=96%,R380*S380*T380*F!$B$96,IF(U380=97%,R380*S380*T380*F!$B$97,IF(U380=98%,R380*S380*T380*F!$B$98,IF(U380=99%,R380*S380*T380*F!$B$99,IF(U380&gt;99%,R380*S380*T380*F!$B$100)))))))))))))))))))))))))))))))))))))))))))))))))))))))))*IF(ISNUMBER(E380),E380,1)*IF(ISNUMBER(D380),D380,1)</f>
        <v>#REF!</v>
      </c>
      <c r="AA380" s="93">
        <f t="shared" ref="AA380:AA385" si="963">G380*H380+K380*L380+O380*P380+S380*T380</f>
        <v>52</v>
      </c>
      <c r="AB380" s="99">
        <f t="shared" ref="AB380:AB385" si="964">(H380*(IF(I380&lt;45%,0.5,IF(I380&lt;55%,0.8,IF(I380&lt;65%,0.9,IF(I380&lt;75%,1,IF(I380&lt;85%,1.1,1.2))))))+L380*(IF(M380&lt;45%,0.5,IF(M380&lt;55%,0.8,IF(M380&lt;65%,0.9,IF(M380&lt;75%,1,IF(M380&lt;85%,1.1,1.2))))))+P380*(IF(Q380&lt;45%,0.5,IF(Q380&lt;55%,0.8,IF(Q380&lt;65%,0.9,IF(Q380&lt;75%,1,IF(Q380&lt;85%,1.1,1.2))))))+T380*(IF(U380&lt;45%,0.5,IF(U380&lt;55%,0.8,IF(U380&lt;65%,0.9,IF(U380&lt;75%,1,IF(U380&lt;85%,1.1,1.2)))))))*IF(D380&gt;=0.8,6,IF(D380&lt;=0.4,1.5,3))</f>
        <v>26.4</v>
      </c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</row>
    <row r="381" ht="15.0" customHeight="1">
      <c r="A381" s="43">
        <f>A374+2</f>
        <v>42403</v>
      </c>
      <c r="B381" s="101" t="s">
        <v>18</v>
      </c>
      <c r="C381" s="143" t="str">
        <f>IF(C344="","",C344)</f>
        <v>Выпады назад</v>
      </c>
      <c r="D381" s="46">
        <f t="shared" si="953"/>
        <v>1</v>
      </c>
      <c r="E381" s="144">
        <f t="shared" si="936"/>
        <v>2</v>
      </c>
      <c r="F381" s="59">
        <f t="shared" si="954"/>
        <v>7</v>
      </c>
      <c r="G381" s="60">
        <v>12.0</v>
      </c>
      <c r="H381" s="60">
        <v>1.0</v>
      </c>
      <c r="I381" s="61">
        <v>0.45</v>
      </c>
      <c r="J381" s="59">
        <f t="shared" si="955"/>
        <v>9</v>
      </c>
      <c r="K381" s="60">
        <v>10.0</v>
      </c>
      <c r="L381" s="60">
        <v>3.0</v>
      </c>
      <c r="M381" s="61">
        <v>0.57</v>
      </c>
      <c r="N381" s="59" t="str">
        <f t="shared" si="956"/>
        <v/>
      </c>
      <c r="O381" s="60"/>
      <c r="P381" s="60"/>
      <c r="Q381" s="61">
        <v>0.0</v>
      </c>
      <c r="R381" s="59" t="str">
        <f t="shared" si="957"/>
        <v/>
      </c>
      <c r="S381" s="60"/>
      <c r="T381" s="60"/>
      <c r="U381" s="61">
        <v>0.0</v>
      </c>
      <c r="V381" s="104">
        <f t="shared" si="958"/>
        <v>708</v>
      </c>
      <c r="W381" s="64">
        <f t="shared" si="959"/>
        <v>16.85714286</v>
      </c>
      <c r="X381" s="65">
        <f t="shared" si="960"/>
        <v>0.55</v>
      </c>
      <c r="Y381" s="137">
        <f t="shared" si="961"/>
        <v>15.46470976</v>
      </c>
      <c r="Z381" s="64" t="str">
        <f t="shared" si="962"/>
        <v>#REF!</v>
      </c>
      <c r="AA381" s="60">
        <f t="shared" si="963"/>
        <v>42</v>
      </c>
      <c r="AB381" s="66">
        <f t="shared" si="964"/>
        <v>21</v>
      </c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</row>
    <row r="382" ht="15.75" customHeight="1">
      <c r="A382" s="57"/>
      <c r="B382" s="101" t="str">
        <f t="shared" ref="B382:C382" si="965">IF(B345="","",B345)</f>
        <v>Легкая</v>
      </c>
      <c r="C382" s="143" t="str">
        <f t="shared" si="965"/>
        <v>Отведение ноги назад</v>
      </c>
      <c r="D382" s="46">
        <f t="shared" si="953"/>
        <v>0.3</v>
      </c>
      <c r="E382" s="144">
        <f t="shared" si="936"/>
        <v>4</v>
      </c>
      <c r="F382" s="105">
        <f t="shared" si="954"/>
        <v>1.9</v>
      </c>
      <c r="G382" s="106">
        <v>12.0</v>
      </c>
      <c r="H382" s="106">
        <v>4.0</v>
      </c>
      <c r="I382" s="107">
        <v>0.35</v>
      </c>
      <c r="J382" s="105" t="str">
        <f t="shared" si="955"/>
        <v/>
      </c>
      <c r="K382" s="106"/>
      <c r="L382" s="106"/>
      <c r="M382" s="107">
        <v>0.0</v>
      </c>
      <c r="N382" s="105" t="str">
        <f t="shared" si="956"/>
        <v/>
      </c>
      <c r="O382" s="106"/>
      <c r="P382" s="106"/>
      <c r="Q382" s="107">
        <v>0.0</v>
      </c>
      <c r="R382" s="105" t="str">
        <f t="shared" si="957"/>
        <v/>
      </c>
      <c r="S382" s="106"/>
      <c r="T382" s="106"/>
      <c r="U382" s="107">
        <v>0.0</v>
      </c>
      <c r="V382" s="108">
        <f t="shared" si="958"/>
        <v>364.8</v>
      </c>
      <c r="W382" s="109">
        <f t="shared" si="959"/>
        <v>7.6</v>
      </c>
      <c r="X382" s="110">
        <f t="shared" si="960"/>
        <v>0.34</v>
      </c>
      <c r="Y382" s="137">
        <f t="shared" si="961"/>
        <v>5.523110627</v>
      </c>
      <c r="Z382" s="109" t="str">
        <f t="shared" si="962"/>
        <v>#REF!</v>
      </c>
      <c r="AA382" s="106">
        <f t="shared" si="963"/>
        <v>48</v>
      </c>
      <c r="AB382" s="111">
        <f t="shared" si="964"/>
        <v>3</v>
      </c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</row>
    <row r="383" ht="15.75" customHeight="1">
      <c r="A383" s="57"/>
      <c r="B383" s="101" t="str">
        <f t="shared" ref="B383:C383" si="966">IF(B346="","",B346)</f>
        <v>Средняя</v>
      </c>
      <c r="C383" s="143" t="str">
        <f t="shared" si="966"/>
        <v>Тяга верхнего блока</v>
      </c>
      <c r="D383" s="46">
        <f t="shared" si="953"/>
        <v>0.3</v>
      </c>
      <c r="E383" s="144">
        <f t="shared" si="936"/>
        <v>4</v>
      </c>
      <c r="F383" s="59">
        <f t="shared" si="954"/>
        <v>4</v>
      </c>
      <c r="G383" s="60">
        <v>12.0</v>
      </c>
      <c r="H383" s="60">
        <v>2.0</v>
      </c>
      <c r="I383" s="61">
        <v>0.45</v>
      </c>
      <c r="J383" s="59">
        <f t="shared" si="955"/>
        <v>4.9</v>
      </c>
      <c r="K383" s="60">
        <v>10.0</v>
      </c>
      <c r="L383" s="60">
        <v>2.0</v>
      </c>
      <c r="M383" s="61">
        <v>0.55</v>
      </c>
      <c r="N383" s="59" t="str">
        <f t="shared" si="956"/>
        <v/>
      </c>
      <c r="O383" s="60"/>
      <c r="P383" s="60"/>
      <c r="Q383" s="61">
        <v>0.0</v>
      </c>
      <c r="R383" s="59" t="str">
        <f t="shared" si="957"/>
        <v/>
      </c>
      <c r="S383" s="60"/>
      <c r="T383" s="60"/>
      <c r="U383" s="61">
        <v>0.0</v>
      </c>
      <c r="V383" s="104">
        <f t="shared" si="958"/>
        <v>776</v>
      </c>
      <c r="W383" s="64">
        <f t="shared" si="959"/>
        <v>17.63636364</v>
      </c>
      <c r="X383" s="65">
        <f t="shared" si="960"/>
        <v>0.5</v>
      </c>
      <c r="Y383" s="137">
        <f t="shared" si="961"/>
        <v>8.836977003</v>
      </c>
      <c r="Z383" s="64" t="str">
        <f t="shared" si="962"/>
        <v>#REF!</v>
      </c>
      <c r="AA383" s="60">
        <f t="shared" si="963"/>
        <v>44</v>
      </c>
      <c r="AB383" s="66">
        <f t="shared" si="964"/>
        <v>5.1</v>
      </c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</row>
    <row r="384" ht="15.75" customHeight="1">
      <c r="A384" s="57"/>
      <c r="B384" s="101" t="s">
        <v>18</v>
      </c>
      <c r="C384" s="143" t="str">
        <f>IF(C347="","",C347)</f>
        <v>Тяга горизонтального блока</v>
      </c>
      <c r="D384" s="46">
        <f t="shared" si="953"/>
        <v>0.3</v>
      </c>
      <c r="E384" s="144">
        <f t="shared" si="936"/>
        <v>4</v>
      </c>
      <c r="F384" s="105">
        <f t="shared" si="954"/>
        <v>5.5</v>
      </c>
      <c r="G384" s="106">
        <v>12.0</v>
      </c>
      <c r="H384" s="106">
        <v>4.0</v>
      </c>
      <c r="I384" s="107">
        <v>0.55</v>
      </c>
      <c r="J384" s="105" t="str">
        <f t="shared" si="955"/>
        <v/>
      </c>
      <c r="K384" s="106"/>
      <c r="L384" s="106"/>
      <c r="M384" s="107">
        <v>0.0</v>
      </c>
      <c r="N384" s="105" t="str">
        <f t="shared" si="956"/>
        <v/>
      </c>
      <c r="O384" s="106"/>
      <c r="P384" s="106"/>
      <c r="Q384" s="107">
        <v>0.0</v>
      </c>
      <c r="R384" s="105" t="str">
        <f t="shared" si="957"/>
        <v/>
      </c>
      <c r="S384" s="106"/>
      <c r="T384" s="106"/>
      <c r="U384" s="107">
        <v>0.0</v>
      </c>
      <c r="V384" s="108">
        <f t="shared" si="958"/>
        <v>1056</v>
      </c>
      <c r="W384" s="109">
        <f t="shared" si="959"/>
        <v>22</v>
      </c>
      <c r="X384" s="117">
        <f t="shared" si="960"/>
        <v>0.55</v>
      </c>
      <c r="Y384" s="137">
        <f t="shared" si="961"/>
        <v>9.941599129</v>
      </c>
      <c r="Z384" s="109" t="str">
        <f t="shared" si="962"/>
        <v>#REF!</v>
      </c>
      <c r="AA384" s="106">
        <f t="shared" si="963"/>
        <v>48</v>
      </c>
      <c r="AB384" s="111">
        <f t="shared" si="964"/>
        <v>5.4</v>
      </c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</row>
    <row r="385" ht="15.75" customHeight="1">
      <c r="A385" s="57"/>
      <c r="B385" s="101" t="str">
        <f t="shared" ref="B385:C385" si="967">IF(B348="","",B348)</f>
        <v>Средняя</v>
      </c>
      <c r="C385" s="143" t="str">
        <f t="shared" si="967"/>
        <v>Разведения в тренажёре на заднюю дельту</v>
      </c>
      <c r="D385" s="46">
        <f t="shared" si="953"/>
        <v>0.3</v>
      </c>
      <c r="E385" s="144">
        <f t="shared" si="936"/>
        <v>4</v>
      </c>
      <c r="F385" s="59">
        <f t="shared" si="954"/>
        <v>2.7</v>
      </c>
      <c r="G385" s="60">
        <v>8.0</v>
      </c>
      <c r="H385" s="60">
        <v>3.0</v>
      </c>
      <c r="I385" s="61">
        <v>0.6</v>
      </c>
      <c r="J385" s="59" t="str">
        <f t="shared" si="955"/>
        <v/>
      </c>
      <c r="K385" s="60"/>
      <c r="L385" s="60"/>
      <c r="M385" s="61">
        <v>0.0</v>
      </c>
      <c r="N385" s="59" t="str">
        <f t="shared" si="956"/>
        <v/>
      </c>
      <c r="O385" s="60"/>
      <c r="P385" s="60"/>
      <c r="Q385" s="61">
        <v>0.0</v>
      </c>
      <c r="R385" s="59" t="str">
        <f t="shared" si="957"/>
        <v/>
      </c>
      <c r="S385" s="60"/>
      <c r="T385" s="60"/>
      <c r="U385" s="61">
        <v>0.0</v>
      </c>
      <c r="V385" s="104">
        <f t="shared" si="958"/>
        <v>259.2</v>
      </c>
      <c r="W385" s="64">
        <f t="shared" si="959"/>
        <v>10.8</v>
      </c>
      <c r="X385" s="65">
        <f t="shared" si="960"/>
        <v>0.61</v>
      </c>
      <c r="Y385" s="137">
        <f t="shared" si="961"/>
        <v>4.418488502</v>
      </c>
      <c r="Z385" s="64" t="str">
        <f t="shared" si="962"/>
        <v>#REF!</v>
      </c>
      <c r="AA385" s="60">
        <f t="shared" si="963"/>
        <v>24</v>
      </c>
      <c r="AB385" s="66">
        <f t="shared" si="964"/>
        <v>4.05</v>
      </c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</row>
    <row r="386" ht="15.75" customHeight="1">
      <c r="A386" s="72"/>
      <c r="B386" s="119" t="str">
        <f t="shared" ref="B386:C386" si="968">IF(B349="","",B349)</f>
        <v/>
      </c>
      <c r="C386" s="146" t="str">
        <f t="shared" si="968"/>
        <v>Сгибания рук с гантелями</v>
      </c>
      <c r="D386" s="75">
        <f>ROUND(IFERROR((D380*(G380*H380+K380*L380+O380*P380+S380*T380)+D381*(G381*H381+K381*L381+O381*P381+S381*T381)+D382*(G382*H382+K382*L382+O382*P382+S382*T382)+D383*(G383*H383+K383*L383+O383*P383+S383*T383)+D384*(G384*H384+K384*L384+O384*P384+S384*T384)+D385*(G385*H385+K385*L385+O385*P385+S385*T385))/((G380*H380+K380*L380+O380*P380+S380*T380)+(G381*H381+K381*L381+O381*P381+S381*T381)+(G382*H382+K382*L382+O382*P382+S382*T382)+(G383*H383+K383*L383+O383*P383+S383*T383)+(G384*H384+K384*L384+O384*P384+S384*T384)+(G385*H385+K385*L385+O385*P385+S385*T385)),0),2)</f>
        <v>0.56</v>
      </c>
      <c r="E386" s="121" t="str">
        <f t="shared" si="936"/>
        <v/>
      </c>
      <c r="F386" s="122"/>
      <c r="G386" s="123"/>
      <c r="H386" s="123"/>
      <c r="I386" s="124"/>
      <c r="J386" s="122"/>
      <c r="K386" s="123"/>
      <c r="L386" s="123"/>
      <c r="M386" s="124"/>
      <c r="N386" s="122"/>
      <c r="O386" s="123"/>
      <c r="P386" s="123"/>
      <c r="Q386" s="124"/>
      <c r="R386" s="122"/>
      <c r="S386" s="123"/>
      <c r="T386" s="123"/>
      <c r="U386" s="124"/>
      <c r="V386" s="125">
        <f>SUM(V380:V385)</f>
        <v>4944</v>
      </c>
      <c r="W386" s="82">
        <f>IFERROR(V386/AA386,0)</f>
        <v>19.1627907</v>
      </c>
      <c r="X386" s="83">
        <f>ROUND(IFERROR(((I380*G380*H380+M380*K380*L380+Q380*O380*P380+U380*S380*T380)+(I381*G381*H381+M381*K381*L381+Q381*O381*P381+U381*S381*T381)+(I382*G382*H382+M382*K382*L382+Q382*O382*P382+U382*S382*T382)+(I383*G383*H383+M383*K383*L383+Q383*O383*P383+U383*S383*T383)+(I384*G384*H384+M384*K384*L384+Q384*O384*P384+U384*S384*T384)+(I385*G385*H385+M385*K385*L385+Q385*O385*P385+U385*S385*T385))/((G380*H380+K380*L380+O380*P380+S380*T380)+(G381*H381+K381*L381+O381*P381+S381*T381)+(G382*H382+K382*L382+O382*P382+S382*T382)+(G383*H383+K383*L383+O383*P383+S383*T383)+(G384*H384+K384*L384+O384*P384+S384*T384)+(G385*H385+K385*L385+O385*P385+S385*T385)),0),3)</f>
        <v>0.509</v>
      </c>
      <c r="Y386" s="84"/>
      <c r="Z386" s="82" t="str">
        <f t="shared" ref="Z386:AA386" si="969">SUM(Z380:Z385)</f>
        <v>#REF!</v>
      </c>
      <c r="AA386" s="85">
        <f t="shared" si="969"/>
        <v>258</v>
      </c>
      <c r="AB386" s="86">
        <f>IF(SUM(AB380:AB385)=0,TIME(,0,),TIME(,SUM(AB380:AB385)+30,))</f>
        <v>0.06527777778</v>
      </c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</row>
    <row r="387" ht="15.75" customHeight="1">
      <c r="A387" s="126" t="s">
        <v>36</v>
      </c>
      <c r="B387" s="127" t="str">
        <f t="shared" ref="B387:C387" si="970">IF(B350="","",B350)</f>
        <v>Тяжелая</v>
      </c>
      <c r="C387" s="176" t="str">
        <f t="shared" si="970"/>
        <v>Ягодичный мост</v>
      </c>
      <c r="D387" s="29">
        <f t="shared" ref="D387:D392" si="972">D350</f>
        <v>1.3</v>
      </c>
      <c r="E387" s="129" t="str">
        <f t="shared" si="936"/>
        <v/>
      </c>
      <c r="F387" s="31">
        <f t="shared" ref="F387:F392" si="973">IF(I387&lt;&gt;0,(IFERROR(IF($Y387&gt;50,MROUND($Y387*I387,2.5),IF($Y387&lt;15,MROUND($Y387*I387,0.1),MROUND($Y387*I387,1))),)),"")</f>
        <v>52.5</v>
      </c>
      <c r="G387" s="32">
        <v>12.0</v>
      </c>
      <c r="H387" s="32">
        <v>1.0</v>
      </c>
      <c r="I387" s="33">
        <v>0.48</v>
      </c>
      <c r="J387" s="31">
        <f t="shared" ref="J387:J392" si="974">IF(M387&lt;&gt;0,(IFERROR(IF($Y387&gt;50,MROUND($Y387*M387,2.5),IF($Y387&lt;15,MROUND($Y387*M387,0.1),MROUND($Y387*M387,1))),)),"")</f>
        <v>62.5</v>
      </c>
      <c r="K387" s="32">
        <v>10.0</v>
      </c>
      <c r="L387" s="32">
        <v>1.0</v>
      </c>
      <c r="M387" s="33">
        <v>0.57</v>
      </c>
      <c r="N387" s="31">
        <f t="shared" ref="N387:N392" si="975">IF(Q387&lt;&gt;0,(IFERROR(IF($Y387&gt;50,MROUND($Y387*Q387,2.5),IF($Y387&lt;15,MROUND($Y387*Q387,0.1),MROUND($Y387*Q387,1))),)),"")</f>
        <v>75</v>
      </c>
      <c r="O387" s="32">
        <v>8.0</v>
      </c>
      <c r="P387" s="32">
        <v>3.0</v>
      </c>
      <c r="Q387" s="33">
        <v>0.67</v>
      </c>
      <c r="R387" s="31" t="str">
        <f t="shared" ref="R387:R392" si="976">IF(U387&lt;&gt;0,(IFERROR(IF($Y387&gt;50,MROUND($Y387*U387,2.5),IF($Y387&lt;15,MROUND($Y387*U387,0.1),MROUND($Y387*U387,1))),)),"")</f>
        <v/>
      </c>
      <c r="S387" s="32"/>
      <c r="T387" s="32"/>
      <c r="U387" s="33">
        <v>0.0</v>
      </c>
      <c r="V387" s="130">
        <f t="shared" ref="V387:V392" si="977">(IF(ISNUMBER(F387),F387,1)*G387*H387+IF(ISNUMBER(J387),J387,1)*K387*L387+IF(ISNUMBER(N387),N387,1)*O387*P387+IF(ISNUMBER(R387),R387,1)*S387*T387)*IF(ISNUMBER(E387),E387,1)</f>
        <v>3055</v>
      </c>
      <c r="W387" s="36">
        <f t="shared" ref="W387:W392" si="978">IFERROR((IF(ISNUMBER(F387),F387,1)*G387*H387+IF(ISNUMBER(J387),J387,1)*K387*L387+IF(ISNUMBER(N387),N387,1)*O387*P387+IF(ISNUMBER(R387),R387,1)*S387*T387)*IF(ISNUMBER(E387),E387,1)/(G387*H387+K387*L387+O387*P387+S387*T387),0)</f>
        <v>66.41304348</v>
      </c>
      <c r="X387" s="34">
        <f t="shared" ref="X387:X392" si="979">ROUND(IFERROR((W387/(Y387*IF(ISNUMBER(E387),E387,1))),0),2)</f>
        <v>0.6</v>
      </c>
      <c r="Y387" s="37">
        <f t="shared" ref="Y387:Y392" si="980">IF(ISNUMBER(Y350), Y350+(Y350*$Y$371),"")</f>
        <v>110.4622125</v>
      </c>
      <c r="Z387" s="36" t="str">
        <f t="shared" ref="Z387:Z392" si="981">(IF(I387&lt;30%,0,IF(I387&lt;35%,F387*G387*H387*F!$B$33,IF(I387&lt;40%,F387*G387*H387*F!$B$38,IF(I387&lt;45%,F387*G387*H387*F!$B$43,IF(I387&lt;50%,F387*G387*H387*F!$B$48,IF(I387=50%,F387*G387*H387*F!$B$50,IF(I387=51%,F387*G387*H387*F!$B$51,IF(I387=52%,F387*G387*H387*F!$B$52,IF(I387=53%,F387*G387*H387*F!$B$53,IF(I387=54%,F387*G387*H387*F!$B$54,IF(I387=55%,F387*G387*H387*F!$B$55,IF(I387=56%,F387*G387*H387*F!$B$56,IF(I387=57%,F387*G387*H387*F!$B$57,IF(I387=58%,F387*G387*H387*F!$B$58,IF(I387=59%,F387*G387*H387*F!$B$59,IF(I387=60%,F387*G387*H387*F!$B$60,IF(I387=61%,F387*G387*H387*F!$B$61,IF(I387=62%,F387*G387*H387*F!$B$62,IF(I387=63%,F387*G387*H387*F!$B$63,IF(I387=64%,F387*G387*H387*F!$B$64,IF(I387=65%,F387*G387*H387*F!$B$65,IF(I387=66%,F387*G387*H387*F!$B$66,IF(I387=67%,F387*G387*H387*F!$B$67,IF(I387=68%,F387*G387*H387*F!$B$68,IF(I387=69%,F387*G387*H387*F!$B$69,IF(I387=70%,F387*G387*H387*F!$B$70,IF(I387=71%,F387*G387*H387*F!$B$71,IF(I387=72%,F387*G387*H387*F!$B$72,IF(I387=73%,F387*G387*H387*F!$B$73,IF(I387=74%,F387*G387*H387*F!$B$74,IF(I387=75%,F387*G387*H387*F!$B$75,IF(I387=76%,F387*G387*H387*F!$B$76,IF(I387=77%,F387*G387*H387*F!$B$77,IF(I387=78%,F387*G387*H387*F!$B$78,IF(I387=79%,F387*G387*H387*F!$B$79,IF(I387=80%,F387*G387*H387*F!$B$80,IF(I387=81%,F387*G387*H387*F!$B$81,IF(I387=82%,F387*G387*H387*F!$B$82,IF(I387=83%,F387*G387*H387*F!$B$83,IF(I387=84%,F387*G387*H387*F!$B$84,IF(I387=85%,F387*G387*H387*F!$B$85,IF(I387=86%,F387*G387*H387*F!$B$86,IF(I387=87%,F387*G387*H387*F!$B$87,IF(I387=88%,F387*G387*H387*F!$B$88,IF(I387=89%,F387*G387*H387*F!$B$89,IF(I387=90%,F387*G387*H387*F!$B$90,IF(I387=91%,F387*G387*H387*F!$B$91,IF(I387=92%,F387*G387*H387*F!$B$92,IF(I387=93%,F387*G387*H387*F!$B$93,IF(I387=94%,F387*G387*H387*F!$B$94,IF(I387=95%,F387*G387*H387*F!$B$95,IF(I387=96%,F387*G387*H387*F!$B$96,IF(I387=97%,F387*G387*H387*F!$B$97,IF(I387=98%,F387*G387*H387*F!$B$98,IF(I387=99%,F387*G387*H387*F!$B$99,IF(I387&gt;99%,F387*G387*H387*F!$B$100,))))))))))))))))))))))))))))))))))))))))))))))))))))))))+IF(M387&lt;30%,0,IF(M387&lt;35%,J387*K387*L387*F!$B$33,IF(M387&lt;40%,J387*K387*L387*F!$B$38,IF(M387&lt;45%,J387*K387*L387*F!$B$43,IF(M387&lt;50%,J387*K387*L387*F!$B$48,IF(M387=50%,J387*K387*L387*F!$B$50,IF(M387=51%,J387*K387*L387*F!$B$51,IF(M387=52%,J387*K387*L387*F!$B$52,IF(M387=53%,J387*K387*L387*F!$B$53,IF(M387=54%,J387*K387*L387*F!$B$54,IF(M387=55%,J387*K387*L387*F!$B$55,IF(M387=56%,J387*K387*L387*F!$B$56,IF(M387=57%,J387*K387*L387*F!$B$57,IF(M387=58%,J387*K387*L387*F!$B$58,IF(M387=59%,J387*K387*L387*F!$B$59,IF(M387=60%,J387*K387*L387*F!$B$60,IF(M387=61%,J387*K387*L387*F!$B$61,IF(M387=62%,J387*K387*L387*F!$B$62,IF(M387=63%,J387*K387*L387*F!$B$63,IF(M387=64%,J387*K387*L387*F!$B$64,IF(M387=65%,J387*K387*L387*F!$B$65,IF(M387=66%,J387*K387*L387*F!$B$66,IF(M387=67%,J387*K387*L387*F!$B$67,IF(M387=68%,J387*K387*L387*F!$B$68,IF(M387=69%,J387*K387*L387*F!$B$69,IF(M387=70%,J387*K387*L387*F!$B$70,IF(M387=71%,J387*K387*L387*F!$B$71,IF(M387=72%,J387*K387*L387*F!$B$72,IF(M387=73%,J387*K387*L387*F!$B$73,IF(M387=74%,J387*K387*L387*F!$B$74,IF(M387=75%,J387*K387*L387*F!$B$75,IF(M387=76%,J387*K387*L387*F!$B$76,IF(M387=77%,J387*K387*L387*F!$B$77,IF(M387=78%,J387*K387*L387*F!$B$78,IF(M387=79%,J387*K387*L387*F!$B$79,IF(M387=80%,J387*K387*L387*F!$B$80,IF(M387=81%,J387*K387*L387*F!$B$81,IF(M387=82%,J387*K387*L387*F!$B$82,IF(M387=83%,J387*K387*L387*F!$B$83,IF(M387=84%,J387*K387*L387*F!$B$84,IF(M387=85%,J387*K387*L387*F!$B$85,IF(M387=86%,J387*K387*L387*F!$B$86,IF(M387=87%,J387*K387*L387*F!$B$87,IF(M387=88%,J387*K387*L387*F!$B$88,IF(M387=89%,J387*K387*L387*F!$B$89,IF(M387=90%,J387*K387*L387*F!$B$90,IF(M387=91%,J387*K387*L387*F!$B$91,IF(M387=92%,J387*K387*L387*F!$B$92,IF(M387=93%,J387*K387*L387*F!$B$93,IF(M387=94%,J387*K387*L387*F!$B$94,IF(M387=95%,J387*K387*L387*F!$B$95,IF(M387=96%,J387*K387*L387*F!$B$96,IF(M387=97%,J387*K387*L387*F!$B$97,IF(M387=98%,J387*K387*L387*F!$B$98,IF(M387=99%,J387*K387*L387*F!$B$99,IF(M387&gt;99%,J387*K387*L387*F!$B$100,))))))))))))))))))))))))))))))))))))))))))))))))))))))))+IF(Q387&lt;30%,0,IF(Q387&lt;35%,N387*O387*P387*F!$B$33,IF(Q387&lt;40%,N387*O387*P387*F!$B$38,IF(Q387&lt;45%,N387*O387*P387*F!$B$43,IF(Q387&lt;50%,N387*O387*P387*F!$B$48,IF(Q387=50%,N387*O387*P387*F!$B$50,IF(Q387=51%,N387*O387*P387*F!$B$51,IF(Q387=52%,N387*O387*P387*F!$B$52,IF(Q387=53%,N387*O387*P387*F!$B$53,IF(Q387=54%,N387*O387*P387*F!$B$54,IF(Q387=55%,N387*O387*P387*F!$B$55,IF(Q387=56%,N387*O387*P387*F!$B$56,IF(Q387=57%,N387*O387*P387*F!$B$57,IF(Q387=58%,N387*O387*P387*F!$B$58,IF(Q387=59%,N387*O387*P387*F!$B$59,IF(Q387=60%,N387*O387*P387*F!$B$60,IF(Q387=61%,N387*O387*P387*F!$B$61,IF(Q387=62%,N387*O387*P387*F!$B$62,IF(Q387=63%,N387*O387*P387*F!$B$63,IF(Q387=64%,N387*O387*P387*F!$B$64,IF(Q387=65%,N387*O387*P387*F!$B$65,IF(Q387=66%,N387*O387*P387*F!$B$66,IF(Q387=67%,N387*O387*P387*F!$B$67,IF(Q387=68%,N387*O387*P387*F!$B$68,IF(Q387=69%,N387*O387*P387*F!$B$69,IF(Q387=70%,N387*O387*P387*F!$B$70,IF(Q387=71%,N387*O387*P387*F!$B$71,IF(Q387=72%,N387*O387*P387*F!$B$72,IF(Q387=73%,N387*O387*P387*F!$B$73,IF(Q387=74%,N387*O387*P387*F!$B$74,IF(Q387=75%,N387*O387*P387*F!$B$75,IF(Q387=76%,N387*O387*P387*F!$B$76,IF(Q387=77%,N387*O387*P387*F!$B$77,IF(Q387=78%,N387*O387*P387*F!$B$78,IF(Q387=79%,N387*O387*P387*F!$B$79,IF(Q387=80%,N387*O387*P387*F!$B$80,IF(Q387=81%,N387*O387*P387*F!$B$81,IF(Q387=82%,N387*O387*P387*F!$B$82,IF(Q387=83%,N387*O387*P387*F!$B$83,IF(Q387=84%,N387*O387*P387*F!$B$84,IF(Q387=85%,N387*O387*P387*F!$B$85,IF(Q387=86%,N387*O387*P387*F!$B$86,IF(Q387=87%,N387*O387*P387*F!$B$87,IF(Q387=88%,N387*O387*P387*F!$B$88,IF(Q387=89%,N387*O387*P387*F!$B$89,IF(Q387=90%,N387*O387*P387*F!$B$90,IF(Q387=91%,N387*O387*P387*F!$B$91,IF(Q387=92%,N387*O387*P387*F!$B$92,IF(Q387=93%,N387*O387*P387*F!$B$93,IF(Q387=94%,N387*O387*P387*F!$B$94,IF(Q387=95%,N387*O387*P387*F!$B$95,IF(Q387=96%,N387*O387*P387*F!$B$96,IF(Q387=97%,N387*O387*P387*F!$B$97,IF(Q387=98%,N387*O387*P387*F!$B$98,IF(Q387=99%,N387*O387*P387*F!$B$99,IF(Q387&gt;99%,N387*O387*P387*F!$B$100,))))))))))))))))))))))))))))))))))))))))))))))))))))))))+IF(U387&lt;30%,0,IF(U387&lt;35%,R387*S387*T387*F!$B$33,IF(U387&lt;40%,R387*S387*T387*F!$B$38,IF(U387&lt;45%,R387*S387*T387*F!$B$43,IF(U387&lt;50%,R387*S387*T387*F!$B$48,IF(U387=50%,R387*S387*T387*F!$B$50,IF(U387=51%,R387*S387*T387*F!$B$51,IF(U387=52%,R387*S387*T387*F!$B$52,IF(U387=53%,R387*S387*T387*F!$B$53,IF(U387=54%,R387*S387*T387*F!$B$54,IF(U387=55%,R387*S387*T387*F!$B$55,IF(U387=56%,R387*S387*T387*F!$B$56,IF(U387=57%,R387*S387*T387*F!$B$57,IF(U387=58%,R387*S387*T387*F!$B$58,IF(U387=59%,R387*S387*T387*F!$B$59,IF(U387=60%,R387*S387*T387*F!$B$60,IF(U387=61%,R387*S387*T387*F!$B$61,IF(U387=62%,R387*S387*T387*F!$B$62,IF(U387=63%,R387*S387*T387*F!$B$63,IF(U387=64%,R387*S387*T387*F!$B$64,IF(U387=65%,R387*S387*T387*F!$B$65,IF(U387=66%,R387*S387*T387*F!$B$66,IF(U387=67%,R387*S387*T387*F!$B$67,IF(U387=68%,R387*S387*T387*F!$B$68,IF(U387=69%,R387*S387*T387*F!$B$69,IF(U387=70%,R387*S387*T387*F!$B$70,IF(U387=71%,R387*S387*T387*F!$B$71,IF(U387=72%,R387*S387*T387*F!$B$72,IF(U387=73%,R387*S387*T387*F!$B$73,IF(U387=74%,R387*S387*T387*F!$B$74,IF(U387=75%,R387*S387*T387*F!$B$75,IF(U387=76%,R387*S387*T387*F!$B$76,IF(U387=77%,R387*S387*T387*F!$B$77,IF(U387=78%,R387*S387*T387*F!$B$78,IF(U387=79%,R387*S387*T387*F!$B$79,IF(U387=80%,R387*S387*T387*F!$B$80,IF(U387=81%,R387*S387*T387*F!$B$81,IF(U387=82%,R387*S387*T387*F!$B$82,IF(U387=83%,R387*S387*T387*F!$B$83,IF(U387=84%,R387*S387*T387*F!$B$84,IF(U387=85%,R387*S387*T387*F!$B$85,IF(U387=86%,R387*S387*T387*F!$B$86,IF(U387=87%,R387*S387*T387*F!$B$87,IF(U387=88%,R387*S387*T387*F!$B$88,IF(U387=89%,R387*S387*T387*F!$B$89,IF(U387=90%,R387*S387*T387*F!$B$90,IF(U387=91%,R387*S387*T387*F!$B$91,IF(U387=92%,R387*S387*T387*F!$B$92,IF(U387=93%,R387*S387*T387*F!$B$93,IF(U387=94%,R387*S387*T387*F!$B$94,IF(U387=95%,R387*S387*T387*F!$B$95,IF(U387=96%,R387*S387*T387*F!$B$96,IF(U387=97%,R387*S387*T387*F!$B$97,IF(U387=98%,R387*S387*T387*F!$B$98,IF(U387=99%,R387*S387*T387*F!$B$99,IF(U387&gt;99%,R387*S387*T387*F!$B$100)))))))))))))))))))))))))))))))))))))))))))))))))))))))))*IF(ISNUMBER(E387),E387,1)*IF(ISNUMBER(D387),D387,1)</f>
        <v>#REF!</v>
      </c>
      <c r="AA387" s="32">
        <f t="shared" ref="AA387:AA392" si="982">G387*H387+K387*L387+O387*P387+S387*T387</f>
        <v>46</v>
      </c>
      <c r="AB387" s="38">
        <f t="shared" ref="AB387:AB392" si="983">(H387*(IF(I387&lt;45%,0.5,IF(I387&lt;55%,0.8,IF(I387&lt;65%,0.9,IF(I387&lt;75%,1,IF(I387&lt;85%,1.1,1.2))))))+L387*(IF(M387&lt;45%,0.5,IF(M387&lt;55%,0.8,IF(M387&lt;65%,0.9,IF(M387&lt;75%,1,IF(M387&lt;85%,1.1,1.2))))))+P387*(IF(Q387&lt;45%,0.5,IF(Q387&lt;55%,0.8,IF(Q387&lt;65%,0.9,IF(Q387&lt;75%,1,IF(Q387&lt;85%,1.1,1.2))))))+T387*(IF(U387&lt;45%,0.5,IF(U387&lt;55%,0.8,IF(U387&lt;65%,0.9,IF(U387&lt;75%,1,IF(U387&lt;85%,1.1,1.2)))))))*IF(D387&gt;=0.8,6,IF(D387&lt;=0.4,1.5,3))</f>
        <v>28.2</v>
      </c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</row>
    <row r="388" ht="15.0" customHeight="1">
      <c r="A388" s="43">
        <f>A381+2</f>
        <v>42405</v>
      </c>
      <c r="B388" s="131" t="str">
        <f t="shared" ref="B388:C388" si="971">IF(B351="","",B351)</f>
        <v>Легкая</v>
      </c>
      <c r="C388" s="177" t="str">
        <f t="shared" si="971"/>
        <v>Зашагивания на платформу</v>
      </c>
      <c r="D388" s="46">
        <f t="shared" si="972"/>
        <v>1</v>
      </c>
      <c r="E388" s="133" t="str">
        <f t="shared" si="936"/>
        <v/>
      </c>
      <c r="F388" s="48">
        <f t="shared" si="973"/>
        <v>0</v>
      </c>
      <c r="G388" s="49">
        <v>12.0</v>
      </c>
      <c r="H388" s="49">
        <v>4.0</v>
      </c>
      <c r="I388" s="50">
        <v>0.35</v>
      </c>
      <c r="J388" s="48" t="str">
        <f t="shared" si="974"/>
        <v/>
      </c>
      <c r="K388" s="49"/>
      <c r="L388" s="49"/>
      <c r="M388" s="50">
        <v>0.0</v>
      </c>
      <c r="N388" s="48" t="str">
        <f t="shared" si="975"/>
        <v/>
      </c>
      <c r="O388" s="49"/>
      <c r="P388" s="49"/>
      <c r="Q388" s="50">
        <v>0.0</v>
      </c>
      <c r="R388" s="48" t="str">
        <f t="shared" si="976"/>
        <v/>
      </c>
      <c r="S388" s="49"/>
      <c r="T388" s="49"/>
      <c r="U388" s="50">
        <v>0.0</v>
      </c>
      <c r="V388" s="134">
        <f t="shared" si="977"/>
        <v>0</v>
      </c>
      <c r="W388" s="53">
        <f t="shared" si="978"/>
        <v>0</v>
      </c>
      <c r="X388" s="54">
        <f t="shared" si="979"/>
        <v>0</v>
      </c>
      <c r="Y388" s="137">
        <f t="shared" si="980"/>
        <v>0</v>
      </c>
      <c r="Z388" s="53" t="str">
        <f t="shared" si="981"/>
        <v>#REF!</v>
      </c>
      <c r="AA388" s="49">
        <f t="shared" si="982"/>
        <v>48</v>
      </c>
      <c r="AB388" s="56">
        <f t="shared" si="983"/>
        <v>12</v>
      </c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</row>
    <row r="389" ht="15.75" customHeight="1">
      <c r="A389" s="57"/>
      <c r="B389" s="135" t="str">
        <f t="shared" ref="B389:C389" si="984">IF(B352="","",B352)</f>
        <v>Средняя</v>
      </c>
      <c r="C389" s="177" t="str">
        <f t="shared" si="984"/>
        <v>Разведение ног</v>
      </c>
      <c r="D389" s="46">
        <f t="shared" si="972"/>
        <v>0.5</v>
      </c>
      <c r="E389" s="133">
        <f t="shared" si="936"/>
        <v>5</v>
      </c>
      <c r="F389" s="59">
        <f t="shared" si="973"/>
        <v>4.4</v>
      </c>
      <c r="G389" s="60">
        <v>12.0</v>
      </c>
      <c r="H389" s="60">
        <v>1.0</v>
      </c>
      <c r="I389" s="61">
        <v>0.4</v>
      </c>
      <c r="J389" s="59">
        <f t="shared" si="974"/>
        <v>5.5</v>
      </c>
      <c r="K389" s="60">
        <v>10.0</v>
      </c>
      <c r="L389" s="60">
        <v>3.0</v>
      </c>
      <c r="M389" s="61">
        <v>0.5</v>
      </c>
      <c r="N389" s="59" t="str">
        <f t="shared" si="975"/>
        <v/>
      </c>
      <c r="O389" s="60"/>
      <c r="P389" s="60"/>
      <c r="Q389" s="61">
        <v>0.0</v>
      </c>
      <c r="R389" s="59" t="str">
        <f t="shared" si="976"/>
        <v/>
      </c>
      <c r="S389" s="60"/>
      <c r="T389" s="60"/>
      <c r="U389" s="61">
        <v>0.0</v>
      </c>
      <c r="V389" s="104">
        <f t="shared" si="977"/>
        <v>1089</v>
      </c>
      <c r="W389" s="64">
        <f t="shared" si="978"/>
        <v>25.92857143</v>
      </c>
      <c r="X389" s="65">
        <f t="shared" si="979"/>
        <v>0.47</v>
      </c>
      <c r="Y389" s="137">
        <f t="shared" si="980"/>
        <v>11.04622125</v>
      </c>
      <c r="Z389" s="64" t="str">
        <f t="shared" si="981"/>
        <v>#REF!</v>
      </c>
      <c r="AA389" s="60">
        <f t="shared" si="982"/>
        <v>42</v>
      </c>
      <c r="AB389" s="66">
        <f t="shared" si="983"/>
        <v>8.7</v>
      </c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</row>
    <row r="390" ht="15.75" customHeight="1">
      <c r="A390" s="57"/>
      <c r="B390" s="135" t="s">
        <v>18</v>
      </c>
      <c r="C390" s="177" t="str">
        <f>IF(C353="","",C353)</f>
        <v>Жим гантелй лежа</v>
      </c>
      <c r="D390" s="46">
        <f t="shared" si="972"/>
        <v>0.4</v>
      </c>
      <c r="E390" s="133">
        <f t="shared" si="936"/>
        <v>2</v>
      </c>
      <c r="F390" s="48">
        <f t="shared" si="973"/>
        <v>6</v>
      </c>
      <c r="G390" s="49">
        <v>12.0</v>
      </c>
      <c r="H390" s="49">
        <v>1.0</v>
      </c>
      <c r="I390" s="50">
        <v>0.45</v>
      </c>
      <c r="J390" s="48">
        <f t="shared" si="974"/>
        <v>6.5</v>
      </c>
      <c r="K390" s="49">
        <v>15.0</v>
      </c>
      <c r="L390" s="49">
        <v>1.0</v>
      </c>
      <c r="M390" s="50">
        <v>0.49</v>
      </c>
      <c r="N390" s="48">
        <f t="shared" si="975"/>
        <v>7</v>
      </c>
      <c r="O390" s="49">
        <v>20.0</v>
      </c>
      <c r="P390" s="49">
        <v>1.0</v>
      </c>
      <c r="Q390" s="50">
        <v>0.53</v>
      </c>
      <c r="R390" s="48" t="str">
        <f t="shared" si="976"/>
        <v/>
      </c>
      <c r="S390" s="49"/>
      <c r="T390" s="49"/>
      <c r="U390" s="50">
        <v>0.0</v>
      </c>
      <c r="V390" s="134">
        <f t="shared" si="977"/>
        <v>619</v>
      </c>
      <c r="W390" s="53">
        <f t="shared" si="978"/>
        <v>13.17021277</v>
      </c>
      <c r="X390" s="54">
        <f t="shared" si="979"/>
        <v>0.5</v>
      </c>
      <c r="Y390" s="137">
        <f t="shared" si="980"/>
        <v>13.2554655</v>
      </c>
      <c r="Z390" s="53" t="str">
        <f t="shared" si="981"/>
        <v>#REF!</v>
      </c>
      <c r="AA390" s="49">
        <f t="shared" si="982"/>
        <v>47</v>
      </c>
      <c r="AB390" s="56">
        <f t="shared" si="983"/>
        <v>3.6</v>
      </c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</row>
    <row r="391" ht="15.75" customHeight="1">
      <c r="A391" s="57"/>
      <c r="B391" s="135" t="str">
        <f t="shared" ref="B391:C391" si="985">IF(B354="","",B354)</f>
        <v>Тяжелая</v>
      </c>
      <c r="C391" s="177" t="str">
        <f t="shared" si="985"/>
        <v>Ходьба выпадами</v>
      </c>
      <c r="D391" s="46">
        <f t="shared" si="972"/>
        <v>0.4</v>
      </c>
      <c r="E391" s="133">
        <f t="shared" si="936"/>
        <v>2</v>
      </c>
      <c r="F391" s="59">
        <f t="shared" si="973"/>
        <v>8</v>
      </c>
      <c r="G391" s="60">
        <v>12.0</v>
      </c>
      <c r="H391" s="60">
        <v>2.0</v>
      </c>
      <c r="I391" s="61">
        <v>0.5</v>
      </c>
      <c r="J391" s="59">
        <f t="shared" si="974"/>
        <v>9</v>
      </c>
      <c r="K391" s="60">
        <v>15.0</v>
      </c>
      <c r="L391" s="60">
        <v>1.0</v>
      </c>
      <c r="M391" s="61">
        <v>0.57</v>
      </c>
      <c r="N391" s="59">
        <f t="shared" si="975"/>
        <v>10</v>
      </c>
      <c r="O391" s="60">
        <v>20.0</v>
      </c>
      <c r="P391" s="60">
        <v>1.0</v>
      </c>
      <c r="Q391" s="61">
        <v>0.63</v>
      </c>
      <c r="R391" s="59" t="str">
        <f t="shared" si="976"/>
        <v/>
      </c>
      <c r="S391" s="60"/>
      <c r="T391" s="60"/>
      <c r="U391" s="61">
        <v>0.0</v>
      </c>
      <c r="V391" s="104">
        <f t="shared" si="977"/>
        <v>1054</v>
      </c>
      <c r="W391" s="64">
        <f t="shared" si="978"/>
        <v>17.86440678</v>
      </c>
      <c r="X391" s="62">
        <f t="shared" si="979"/>
        <v>0.54</v>
      </c>
      <c r="Y391" s="137">
        <f t="shared" si="980"/>
        <v>16.56933188</v>
      </c>
      <c r="Z391" s="64" t="str">
        <f t="shared" si="981"/>
        <v>#REF!</v>
      </c>
      <c r="AA391" s="60">
        <f t="shared" si="982"/>
        <v>59</v>
      </c>
      <c r="AB391" s="66">
        <f t="shared" si="983"/>
        <v>5.1</v>
      </c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</row>
    <row r="392" ht="15.75" customHeight="1">
      <c r="A392" s="57"/>
      <c r="B392" s="135" t="str">
        <f t="shared" ref="B392:C392" si="986">IF(B355="","",B355)</f>
        <v>Средняя</v>
      </c>
      <c r="C392" s="177" t="str">
        <f t="shared" si="986"/>
        <v>Гиперэкстензия на ягодицы</v>
      </c>
      <c r="D392" s="46">
        <f t="shared" si="972"/>
        <v>0.4</v>
      </c>
      <c r="E392" s="133" t="str">
        <f t="shared" si="936"/>
        <v/>
      </c>
      <c r="F392" s="48">
        <f t="shared" si="973"/>
        <v>18</v>
      </c>
      <c r="G392" s="49">
        <v>8.0</v>
      </c>
      <c r="H392" s="49">
        <v>4.0</v>
      </c>
      <c r="I392" s="50">
        <v>0.55</v>
      </c>
      <c r="J392" s="48" t="str">
        <f t="shared" si="974"/>
        <v/>
      </c>
      <c r="K392" s="49"/>
      <c r="L392" s="49"/>
      <c r="M392" s="50">
        <v>0.0</v>
      </c>
      <c r="N392" s="48" t="str">
        <f t="shared" si="975"/>
        <v/>
      </c>
      <c r="O392" s="49"/>
      <c r="P392" s="49"/>
      <c r="Q392" s="50">
        <v>0.0</v>
      </c>
      <c r="R392" s="48" t="str">
        <f t="shared" si="976"/>
        <v/>
      </c>
      <c r="S392" s="49"/>
      <c r="T392" s="49"/>
      <c r="U392" s="50">
        <v>0.0</v>
      </c>
      <c r="V392" s="134">
        <f t="shared" si="977"/>
        <v>576</v>
      </c>
      <c r="W392" s="53">
        <f t="shared" si="978"/>
        <v>18</v>
      </c>
      <c r="X392" s="54">
        <f t="shared" si="979"/>
        <v>0.54</v>
      </c>
      <c r="Y392" s="137">
        <f t="shared" si="980"/>
        <v>33.13866376</v>
      </c>
      <c r="Z392" s="53" t="str">
        <f t="shared" si="981"/>
        <v>#REF!</v>
      </c>
      <c r="AA392" s="49">
        <f t="shared" si="982"/>
        <v>32</v>
      </c>
      <c r="AB392" s="56">
        <f t="shared" si="983"/>
        <v>5.4</v>
      </c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</row>
    <row r="393" ht="15.75" customHeight="1">
      <c r="A393" s="72"/>
      <c r="B393" s="138" t="str">
        <f t="shared" ref="B393:C393" si="987">IF(B356="","",B356)</f>
        <v/>
      </c>
      <c r="C393" s="178" t="str">
        <f t="shared" si="987"/>
        <v>Скручивания (пресс)</v>
      </c>
      <c r="D393" s="75">
        <f>ROUND(IFERROR((D387*(G387*H387+K387*L387+O387*P387+S387*T387)+D388*(G388*H388+K388*L388+O388*P388+S388*T388)+D389*(G389*H389+K389*L389+O389*P389+S389*T389)+D390*(G390*H390+K390*L390+O390*P390+S390*T390)+D391*(G391*H391+K391*L391+O391*P391+S391*T391)+D392*(G392*H392+K392*L392+O392*P392+S392*T392))/((G387*H387+K387*L387+O387*P387+S387*T387)+(G388*H388+K388*L388+O388*P388+S388*T388)+(G389*H389+K389*L389+O389*P389+S389*T389)+(G390*H390+K390*L390+O390*P390+S390*T390)+(G391*H391+K391*L391+O391*P391+S391*T391)+(G392*H392+K392*L392+O392*P392+S392*T392)),0),2)</f>
        <v>0.67</v>
      </c>
      <c r="E393" s="140" t="str">
        <f t="shared" si="936"/>
        <v/>
      </c>
      <c r="F393" s="77"/>
      <c r="G393" s="78"/>
      <c r="H393" s="78"/>
      <c r="I393" s="79"/>
      <c r="J393" s="77"/>
      <c r="K393" s="78"/>
      <c r="L393" s="78"/>
      <c r="M393" s="79"/>
      <c r="N393" s="77"/>
      <c r="O393" s="78"/>
      <c r="P393" s="78"/>
      <c r="Q393" s="79"/>
      <c r="R393" s="77"/>
      <c r="S393" s="78"/>
      <c r="T393" s="78"/>
      <c r="U393" s="79"/>
      <c r="V393" s="125">
        <f>SUM(V387:V392)</f>
        <v>6393</v>
      </c>
      <c r="W393" s="82">
        <f>IFERROR(V393/AA393,0)</f>
        <v>23.33211679</v>
      </c>
      <c r="X393" s="83">
        <f>ROUND(IFERROR(((I387*G387*H387+M387*K387*L387+Q387*O387*P387+U387*S387*T387)+(I388*G388*H388+M388*K388*L388+Q388*O388*P388+U388*S388*T388)+(I389*G389*H389+M389*K389*L389+Q389*O389*P389+U389*S389*T389)+(I390*G390*H390+M390*K390*L390+Q390*O390*P390+U390*S390*T390)+(I391*G391*H391+M391*K391*L391+Q391*O391*P391+U391*S391*T391)+(I392*G392*H392+M392*K392*L392+Q392*O392*P392+U392*S392*T392))/((G387*H387+K387*L387+O387*P387+S387*T387)+(G388*H388+K388*L388+O388*P388+S388*T388)+(G389*H389+K389*L389+O389*P389+S389*T389)+(G390*H390+K390*L390+O390*P390+S390*T390)+(G391*H391+K391*L391+O391*P391+S391*T391)+(G392*H392+K392*L392+O392*P392+S392*T392)),0),3)</f>
        <v>0.505</v>
      </c>
      <c r="Y393" s="84"/>
      <c r="Z393" s="82" t="str">
        <f t="shared" ref="Z393:AA393" si="988">SUM(Z387:Z392)</f>
        <v>#REF!</v>
      </c>
      <c r="AA393" s="85">
        <f t="shared" si="988"/>
        <v>274</v>
      </c>
      <c r="AB393" s="86">
        <f>IF(SUM(AB387:AB392)=0,TIME(,0,),TIME(,SUM(AB387:AB392)+30,))</f>
        <v>0.06458333333</v>
      </c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</row>
    <row r="394" ht="15.75" hidden="1" customHeight="1">
      <c r="A394" s="88" t="s">
        <v>44</v>
      </c>
      <c r="B394" s="89" t="str">
        <f t="shared" ref="B394:C394" si="989">IF(B357="","",B357)</f>
        <v/>
      </c>
      <c r="C394" s="141" t="str">
        <f t="shared" si="989"/>
        <v/>
      </c>
      <c r="D394" s="29" t="str">
        <f t="shared" ref="D394:D399" si="991">D357</f>
        <v/>
      </c>
      <c r="E394" s="91" t="str">
        <f t="shared" si="936"/>
        <v/>
      </c>
      <c r="F394" s="92"/>
      <c r="G394" s="93"/>
      <c r="H394" s="93"/>
      <c r="I394" s="94" t="str">
        <f t="shared" ref="I394:I399" si="992">IFERROR(ROUND(F394/$Y394,2),)</f>
        <v/>
      </c>
      <c r="J394" s="92"/>
      <c r="K394" s="93"/>
      <c r="L394" s="93"/>
      <c r="M394" s="94" t="str">
        <f t="shared" ref="M394:M399" si="993">IFERROR(ROUND(J394/$Y394,2),)</f>
        <v/>
      </c>
      <c r="N394" s="92"/>
      <c r="O394" s="93"/>
      <c r="P394" s="93"/>
      <c r="Q394" s="94" t="str">
        <f t="shared" ref="Q394:Q399" si="994">IFERROR(ROUND(N394/$Y394,2),)</f>
        <v/>
      </c>
      <c r="R394" s="92"/>
      <c r="S394" s="93"/>
      <c r="T394" s="93"/>
      <c r="U394" s="94" t="str">
        <f t="shared" ref="U394:U399" si="995">IFERROR(ROUND(R394/$Y394,2),)</f>
        <v/>
      </c>
      <c r="V394" s="95">
        <f t="shared" ref="V394:V399" si="996">(IF(ISNUMBER(F394),F394,1)*G394*H394+IF(ISNUMBER(J394),J394,1)*K394*L394+IF(ISNUMBER(N394),N394,1)*O394*P394+IF(ISNUMBER(R394),R394,1)*S394*T394)*IF(ISNUMBER(E394),E394,1)</f>
        <v>0</v>
      </c>
      <c r="W394" s="96">
        <f t="shared" ref="W394:W399" si="997">IFERROR((IF(ISNUMBER(F394),F394,1)*G394*H394+IF(ISNUMBER(J394),J394,1)*K394*L394+IF(ISNUMBER(N394),N394,1)*O394*P394+IF(ISNUMBER(R394),R394,1)*S394*T394)*IF(ISNUMBER(E394),E394,1)/(G394*H394+K394*L394+O394*P394+S394*T394),0)</f>
        <v>0</v>
      </c>
      <c r="X394" s="97">
        <f t="shared" ref="X394:X399" si="998">ROUND(IFERROR((W394/(Y394*IF(ISNUMBER(E394),E394,1))),0),2)</f>
        <v>0</v>
      </c>
      <c r="Y394" s="37" t="str">
        <f t="shared" ref="Y394:Y399" si="999">IF(ISNUMBER(Y357), Y357+(Y357*$Y$371),"")</f>
        <v/>
      </c>
      <c r="Z394" s="96">
        <f t="shared" ref="Z394:Z399" si="1000">(IF(I394&lt;30%,0,IF(I394&lt;35%,F394*G394*H394*F!$B$33,IF(I394&lt;40%,F394*G394*H394*F!$B$38,IF(I394&lt;45%,F394*G394*H394*F!$B$43,IF(I394&lt;50%,F394*G394*H394*F!$B$48,IF(I394=50%,F394*G394*H394*F!$B$50,IF(I394=51%,F394*G394*H394*F!$B$51,IF(I394=52%,F394*G394*H394*F!$B$52,IF(I394=53%,F394*G394*H394*F!$B$53,IF(I394=54%,F394*G394*H394*F!$B$54,IF(I394=55%,F394*G394*H394*F!$B$55,IF(I394=56%,F394*G394*H394*F!$B$56,IF(I394=57%,F394*G394*H394*F!$B$57,IF(I394=58%,F394*G394*H394*F!$B$58,IF(I394=59%,F394*G394*H394*F!$B$59,IF(I394=60%,F394*G394*H394*F!$B$60,IF(I394=61%,F394*G394*H394*F!$B$61,IF(I394=62%,F394*G394*H394*F!$B$62,IF(I394=63%,F394*G394*H394*F!$B$63,IF(I394=64%,F394*G394*H394*F!$B$64,IF(I394=65%,F394*G394*H394*F!$B$65,IF(I394=66%,F394*G394*H394*F!$B$66,IF(I394=67%,F394*G394*H394*F!$B$67,IF(I394=68%,F394*G394*H394*F!$B$68,IF(I394=69%,F394*G394*H394*F!$B$69,IF(I394=70%,F394*G394*H394*F!$B$70,IF(I394=71%,F394*G394*H394*F!$B$71,IF(I394=72%,F394*G394*H394*F!$B$72,IF(I394=73%,F394*G394*H394*F!$B$73,IF(I394=74%,F394*G394*H394*F!$B$74,IF(I394=75%,F394*G394*H394*F!$B$75,IF(I394=76%,F394*G394*H394*F!$B$76,IF(I394=77%,F394*G394*H394*F!$B$77,IF(I394=78%,F394*G394*H394*F!$B$78,IF(I394=79%,F394*G394*H394*F!$B$79,IF(I394=80%,F394*G394*H394*F!$B$80,IF(I394=81%,F394*G394*H394*F!$B$81,IF(I394=82%,F394*G394*H394*F!$B$82,IF(I394=83%,F394*G394*H394*F!$B$83,IF(I394=84%,F394*G394*H394*F!$B$84,IF(I394=85%,F394*G394*H394*F!$B$85,IF(I394=86%,F394*G394*H394*F!$B$86,IF(I394=87%,F394*G394*H394*F!$B$87,IF(I394=88%,F394*G394*H394*F!$B$88,IF(I394=89%,F394*G394*H394*F!$B$89,IF(I394=90%,F394*G394*H394*F!$B$90,IF(I394=91%,F394*G394*H394*F!$B$91,IF(I394=92%,F394*G394*H394*F!$B$92,IF(I394=93%,F394*G394*H394*F!$B$93,IF(I394=94%,F394*G394*H394*F!$B$94,IF(I394=95%,F394*G394*H394*F!$B$95,IF(I394=96%,F394*G394*H394*F!$B$96,IF(I394=97%,F394*G394*H394*F!$B$97,IF(I394=98%,F394*G394*H394*F!$B$98,IF(I394=99%,F394*G394*H394*F!$B$99,IF(I394&gt;99%,F394*G394*H394*F!$B$100,))))))))))))))))))))))))))))))))))))))))))))))))))))))))+IF(M394&lt;30%,0,IF(M394&lt;35%,J394*K394*L394*F!$B$33,IF(M394&lt;40%,J394*K394*L394*F!$B$38,IF(M394&lt;45%,J394*K394*L394*F!$B$43,IF(M394&lt;50%,J394*K394*L394*F!$B$48,IF(M394=50%,J394*K394*L394*F!$B$50,IF(M394=51%,J394*K394*L394*F!$B$51,IF(M394=52%,J394*K394*L394*F!$B$52,IF(M394=53%,J394*K394*L394*F!$B$53,IF(M394=54%,J394*K394*L394*F!$B$54,IF(M394=55%,J394*K394*L394*F!$B$55,IF(M394=56%,J394*K394*L394*F!$B$56,IF(M394=57%,J394*K394*L394*F!$B$57,IF(M394=58%,J394*K394*L394*F!$B$58,IF(M394=59%,J394*K394*L394*F!$B$59,IF(M394=60%,J394*K394*L394*F!$B$60,IF(M394=61%,J394*K394*L394*F!$B$61,IF(M394=62%,J394*K394*L394*F!$B$62,IF(M394=63%,J394*K394*L394*F!$B$63,IF(M394=64%,J394*K394*L394*F!$B$64,IF(M394=65%,J394*K394*L394*F!$B$65,IF(M394=66%,J394*K394*L394*F!$B$66,IF(M394=67%,J394*K394*L394*F!$B$67,IF(M394=68%,J394*K394*L394*F!$B$68,IF(M394=69%,J394*K394*L394*F!$B$69,IF(M394=70%,J394*K394*L394*F!$B$70,IF(M394=71%,J394*K394*L394*F!$B$71,IF(M394=72%,J394*K394*L394*F!$B$72,IF(M394=73%,J394*K394*L394*F!$B$73,IF(M394=74%,J394*K394*L394*F!$B$74,IF(M394=75%,J394*K394*L394*F!$B$75,IF(M394=76%,J394*K394*L394*F!$B$76,IF(M394=77%,J394*K394*L394*F!$B$77,IF(M394=78%,J394*K394*L394*F!$B$78,IF(M394=79%,J394*K394*L394*F!$B$79,IF(M394=80%,J394*K394*L394*F!$B$80,IF(M394=81%,J394*K394*L394*F!$B$81,IF(M394=82%,J394*K394*L394*F!$B$82,IF(M394=83%,J394*K394*L394*F!$B$83,IF(M394=84%,J394*K394*L394*F!$B$84,IF(M394=85%,J394*K394*L394*F!$B$85,IF(M394=86%,J394*K394*L394*F!$B$86,IF(M394=87%,J394*K394*L394*F!$B$87,IF(M394=88%,J394*K394*L394*F!$B$88,IF(M394=89%,J394*K394*L394*F!$B$89,IF(M394=90%,J394*K394*L394*F!$B$90,IF(M394=91%,J394*K394*L394*F!$B$91,IF(M394=92%,J394*K394*L394*F!$B$92,IF(M394=93%,J394*K394*L394*F!$B$93,IF(M394=94%,J394*K394*L394*F!$B$94,IF(M394=95%,J394*K394*L394*F!$B$95,IF(M394=96%,J394*K394*L394*F!$B$96,IF(M394=97%,J394*K394*L394*F!$B$97,IF(M394=98%,J394*K394*L394*F!$B$98,IF(M394=99%,J394*K394*L394*F!$B$99,IF(M394&gt;99%,J394*K394*L394*F!$B$100,))))))))))))))))))))))))))))))))))))))))))))))))))))))))+IF(Q394&lt;30%,0,IF(Q394&lt;35%,N394*O394*P394*F!$B$33,IF(Q394&lt;40%,N394*O394*P394*F!$B$38,IF(Q394&lt;45%,N394*O394*P394*F!$B$43,IF(Q394&lt;50%,N394*O394*P394*F!$B$48,IF(Q394=50%,N394*O394*P394*F!$B$50,IF(Q394=51%,N394*O394*P394*F!$B$51,IF(Q394=52%,N394*O394*P394*F!$B$52,IF(Q394=53%,N394*O394*P394*F!$B$53,IF(Q394=54%,N394*O394*P394*F!$B$54,IF(Q394=55%,N394*O394*P394*F!$B$55,IF(Q394=56%,N394*O394*P394*F!$B$56,IF(Q394=57%,N394*O394*P394*F!$B$57,IF(Q394=58%,N394*O394*P394*F!$B$58,IF(Q394=59%,N394*O394*P394*F!$B$59,IF(Q394=60%,N394*O394*P394*F!$B$60,IF(Q394=61%,N394*O394*P394*F!$B$61,IF(Q394=62%,N394*O394*P394*F!$B$62,IF(Q394=63%,N394*O394*P394*F!$B$63,IF(Q394=64%,N394*O394*P394*F!$B$64,IF(Q394=65%,N394*O394*P394*F!$B$65,IF(Q394=66%,N394*O394*P394*F!$B$66,IF(Q394=67%,N394*O394*P394*F!$B$67,IF(Q394=68%,N394*O394*P394*F!$B$68,IF(Q394=69%,N394*O394*P394*F!$B$69,IF(Q394=70%,N394*O394*P394*F!$B$70,IF(Q394=71%,N394*O394*P394*F!$B$71,IF(Q394=72%,N394*O394*P394*F!$B$72,IF(Q394=73%,N394*O394*P394*F!$B$73,IF(Q394=74%,N394*O394*P394*F!$B$74,IF(Q394=75%,N394*O394*P394*F!$B$75,IF(Q394=76%,N394*O394*P394*F!$B$76,IF(Q394=77%,N394*O394*P394*F!$B$77,IF(Q394=78%,N394*O394*P394*F!$B$78,IF(Q394=79%,N394*O394*P394*F!$B$79,IF(Q394=80%,N394*O394*P394*F!$B$80,IF(Q394=81%,N394*O394*P394*F!$B$81,IF(Q394=82%,N394*O394*P394*F!$B$82,IF(Q394=83%,N394*O394*P394*F!$B$83,IF(Q394=84%,N394*O394*P394*F!$B$84,IF(Q394=85%,N394*O394*P394*F!$B$85,IF(Q394=86%,N394*O394*P394*F!$B$86,IF(Q394=87%,N394*O394*P394*F!$B$87,IF(Q394=88%,N394*O394*P394*F!$B$88,IF(Q394=89%,N394*O394*P394*F!$B$89,IF(Q394=90%,N394*O394*P394*F!$B$90,IF(Q394=91%,N394*O394*P394*F!$B$91,IF(Q394=92%,N394*O394*P394*F!$B$92,IF(Q394=93%,N394*O394*P394*F!$B$93,IF(Q394=94%,N394*O394*P394*F!$B$94,IF(Q394=95%,N394*O394*P394*F!$B$95,IF(Q394=96%,N394*O394*P394*F!$B$96,IF(Q394=97%,N394*O394*P394*F!$B$97,IF(Q394=98%,N394*O394*P394*F!$B$98,IF(Q394=99%,N394*O394*P394*F!$B$99,IF(Q394&gt;99%,N394*O394*P394*F!$B$100,))))))))))))))))))))))))))))))))))))))))))))))))))))))))+IF(U394&lt;30%,0,IF(U394&lt;35%,R394*S394*T394*F!$B$33,IF(U394&lt;40%,R394*S394*T394*F!$B$38,IF(U394&lt;45%,R394*S394*T394*F!$B$43,IF(U394&lt;50%,R394*S394*T394*F!$B$48,IF(U394=50%,R394*S394*T394*F!$B$50,IF(U394=51%,R394*S394*T394*F!$B$51,IF(U394=52%,R394*S394*T394*F!$B$52,IF(U394=53%,R394*S394*T394*F!$B$53,IF(U394=54%,R394*S394*T394*F!$B$54,IF(U394=55%,R394*S394*T394*F!$B$55,IF(U394=56%,R394*S394*T394*F!$B$56,IF(U394=57%,R394*S394*T394*F!$B$57,IF(U394=58%,R394*S394*T394*F!$B$58,IF(U394=59%,R394*S394*T394*F!$B$59,IF(U394=60%,R394*S394*T394*F!$B$60,IF(U394=61%,R394*S394*T394*F!$B$61,IF(U394=62%,R394*S394*T394*F!$B$62,IF(U394=63%,R394*S394*T394*F!$B$63,IF(U394=64%,R394*S394*T394*F!$B$64,IF(U394=65%,R394*S394*T394*F!$B$65,IF(U394=66%,R394*S394*T394*F!$B$66,IF(U394=67%,R394*S394*T394*F!$B$67,IF(U394=68%,R394*S394*T394*F!$B$68,IF(U394=69%,R394*S394*T394*F!$B$69,IF(U394=70%,R394*S394*T394*F!$B$70,IF(U394=71%,R394*S394*T394*F!$B$71,IF(U394=72%,R394*S394*T394*F!$B$72,IF(U394=73%,R394*S394*T394*F!$B$73,IF(U394=74%,R394*S394*T394*F!$B$74,IF(U394=75%,R394*S394*T394*F!$B$75,IF(U394=76%,R394*S394*T394*F!$B$76,IF(U394=77%,R394*S394*T394*F!$B$77,IF(U394=78%,R394*S394*T394*F!$B$78,IF(U394=79%,R394*S394*T394*F!$B$79,IF(U394=80%,R394*S394*T394*F!$B$80,IF(U394=81%,R394*S394*T394*F!$B$81,IF(U394=82%,R394*S394*T394*F!$B$82,IF(U394=83%,R394*S394*T394*F!$B$83,IF(U394=84%,R394*S394*T394*F!$B$84,IF(U394=85%,R394*S394*T394*F!$B$85,IF(U394=86%,R394*S394*T394*F!$B$86,IF(U394=87%,R394*S394*T394*F!$B$87,IF(U394=88%,R394*S394*T394*F!$B$88,IF(U394=89%,R394*S394*T394*F!$B$89,IF(U394=90%,R394*S394*T394*F!$B$90,IF(U394=91%,R394*S394*T394*F!$B$91,IF(U394=92%,R394*S394*T394*F!$B$92,IF(U394=93%,R394*S394*T394*F!$B$93,IF(U394=94%,R394*S394*T394*F!$B$94,IF(U394=95%,R394*S394*T394*F!$B$95,IF(U394=96%,R394*S394*T394*F!$B$96,IF(U394=97%,R394*S394*T394*F!$B$97,IF(U394=98%,R394*S394*T394*F!$B$98,IF(U394=99%,R394*S394*T394*F!$B$99,IF(U394&gt;99%,R394*S394*T394*F!$B$100)))))))))))))))))))))))))))))))))))))))))))))))))))))))))*IF(ISNUMBER(E394),E394,1)*IF(ISNUMBER(D394),D394,1)</f>
        <v>0</v>
      </c>
      <c r="AA394" s="93">
        <f t="shared" ref="AA394:AA399" si="1001">G394*H394+K394*L394+O394*P394+S394*T394</f>
        <v>0</v>
      </c>
      <c r="AB394" s="99">
        <f t="shared" ref="AB394:AB399" si="1002">(H394*(IF(I394&lt;45%,0.5,IF(I394&lt;55%,0.8,IF(I394&lt;65%,0.9,IF(I394&lt;75%,1,IF(I394&lt;85%,1.1,1.2))))))+L394*(IF(M394&lt;45%,0.5,IF(M394&lt;55%,0.8,IF(M394&lt;65%,0.9,IF(M394&lt;75%,1,IF(M394&lt;85%,1.1,1.2))))))+P394*(IF(Q394&lt;45%,0.5,IF(Q394&lt;55%,0.8,IF(Q394&lt;65%,0.9,IF(Q394&lt;75%,1,IF(Q394&lt;85%,1.1,1.2))))))+T394*(IF(U394&lt;45%,0.5,IF(U394&lt;55%,0.8,IF(U394&lt;65%,0.9,IF(U394&lt;75%,1,IF(U394&lt;85%,1.1,1.2)))))))*IF(D394&gt;=0.8,6,IF(D394&lt;=0.4,1.5,3))</f>
        <v>0</v>
      </c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</row>
    <row r="395" ht="15.75" hidden="1" customHeight="1">
      <c r="A395" s="142">
        <f>A388+1</f>
        <v>42406</v>
      </c>
      <c r="B395" s="101" t="str">
        <f t="shared" ref="B395:C395" si="990">IF(B358="","",B358)</f>
        <v/>
      </c>
      <c r="C395" s="143" t="str">
        <f t="shared" si="990"/>
        <v/>
      </c>
      <c r="D395" s="46" t="str">
        <f t="shared" si="991"/>
        <v/>
      </c>
      <c r="E395" s="144" t="str">
        <f t="shared" si="936"/>
        <v/>
      </c>
      <c r="F395" s="59"/>
      <c r="G395" s="60"/>
      <c r="H395" s="60"/>
      <c r="I395" s="61" t="str">
        <f t="shared" si="992"/>
        <v/>
      </c>
      <c r="J395" s="59"/>
      <c r="K395" s="60"/>
      <c r="L395" s="60"/>
      <c r="M395" s="61" t="str">
        <f t="shared" si="993"/>
        <v/>
      </c>
      <c r="N395" s="59"/>
      <c r="O395" s="60"/>
      <c r="P395" s="60"/>
      <c r="Q395" s="61" t="str">
        <f t="shared" si="994"/>
        <v/>
      </c>
      <c r="R395" s="59"/>
      <c r="S395" s="60"/>
      <c r="T395" s="60"/>
      <c r="U395" s="61" t="str">
        <f t="shared" si="995"/>
        <v/>
      </c>
      <c r="V395" s="104">
        <f t="shared" si="996"/>
        <v>0</v>
      </c>
      <c r="W395" s="64">
        <f t="shared" si="997"/>
        <v>0</v>
      </c>
      <c r="X395" s="65">
        <f t="shared" si="998"/>
        <v>0</v>
      </c>
      <c r="Y395" s="137" t="str">
        <f t="shared" si="999"/>
        <v/>
      </c>
      <c r="Z395" s="64">
        <f t="shared" si="1000"/>
        <v>0</v>
      </c>
      <c r="AA395" s="60">
        <f t="shared" si="1001"/>
        <v>0</v>
      </c>
      <c r="AB395" s="66">
        <f t="shared" si="1002"/>
        <v>0</v>
      </c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</row>
    <row r="396" ht="15.75" hidden="1" customHeight="1">
      <c r="A396" s="57"/>
      <c r="B396" s="101" t="str">
        <f t="shared" ref="B396:C396" si="1003">IF(B359="","",B359)</f>
        <v/>
      </c>
      <c r="C396" s="143" t="str">
        <f t="shared" si="1003"/>
        <v/>
      </c>
      <c r="D396" s="46" t="str">
        <f t="shared" si="991"/>
        <v/>
      </c>
      <c r="E396" s="144" t="str">
        <f t="shared" si="936"/>
        <v/>
      </c>
      <c r="F396" s="105"/>
      <c r="G396" s="106"/>
      <c r="H396" s="106"/>
      <c r="I396" s="107" t="str">
        <f t="shared" si="992"/>
        <v/>
      </c>
      <c r="J396" s="105"/>
      <c r="K396" s="106"/>
      <c r="L396" s="106"/>
      <c r="M396" s="107" t="str">
        <f t="shared" si="993"/>
        <v/>
      </c>
      <c r="N396" s="105"/>
      <c r="O396" s="106"/>
      <c r="P396" s="106"/>
      <c r="Q396" s="107" t="str">
        <f t="shared" si="994"/>
        <v/>
      </c>
      <c r="R396" s="105"/>
      <c r="S396" s="106"/>
      <c r="T396" s="106"/>
      <c r="U396" s="107" t="str">
        <f t="shared" si="995"/>
        <v/>
      </c>
      <c r="V396" s="108">
        <f t="shared" si="996"/>
        <v>0</v>
      </c>
      <c r="W396" s="109">
        <f t="shared" si="997"/>
        <v>0</v>
      </c>
      <c r="X396" s="110">
        <f t="shared" si="998"/>
        <v>0</v>
      </c>
      <c r="Y396" s="137" t="str">
        <f t="shared" si="999"/>
        <v/>
      </c>
      <c r="Z396" s="109">
        <f t="shared" si="1000"/>
        <v>0</v>
      </c>
      <c r="AA396" s="106">
        <f t="shared" si="1001"/>
        <v>0</v>
      </c>
      <c r="AB396" s="111">
        <f t="shared" si="1002"/>
        <v>0</v>
      </c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</row>
    <row r="397" ht="15.75" hidden="1" customHeight="1">
      <c r="A397" s="57"/>
      <c r="B397" s="101" t="str">
        <f t="shared" ref="B397:C397" si="1004">IF(B360="","",B360)</f>
        <v/>
      </c>
      <c r="C397" s="143" t="str">
        <f t="shared" si="1004"/>
        <v/>
      </c>
      <c r="D397" s="46" t="str">
        <f t="shared" si="991"/>
        <v/>
      </c>
      <c r="E397" s="144" t="str">
        <f t="shared" si="936"/>
        <v/>
      </c>
      <c r="F397" s="59"/>
      <c r="G397" s="60"/>
      <c r="H397" s="60"/>
      <c r="I397" s="61" t="str">
        <f t="shared" si="992"/>
        <v/>
      </c>
      <c r="J397" s="59"/>
      <c r="K397" s="60"/>
      <c r="L397" s="60"/>
      <c r="M397" s="61" t="str">
        <f t="shared" si="993"/>
        <v/>
      </c>
      <c r="N397" s="59"/>
      <c r="O397" s="60"/>
      <c r="P397" s="60"/>
      <c r="Q397" s="61" t="str">
        <f t="shared" si="994"/>
        <v/>
      </c>
      <c r="R397" s="59"/>
      <c r="S397" s="60"/>
      <c r="T397" s="60"/>
      <c r="U397" s="61" t="str">
        <f t="shared" si="995"/>
        <v/>
      </c>
      <c r="V397" s="104">
        <f t="shared" si="996"/>
        <v>0</v>
      </c>
      <c r="W397" s="64">
        <f t="shared" si="997"/>
        <v>0</v>
      </c>
      <c r="X397" s="65">
        <f t="shared" si="998"/>
        <v>0</v>
      </c>
      <c r="Y397" s="137" t="str">
        <f t="shared" si="999"/>
        <v/>
      </c>
      <c r="Z397" s="64">
        <f t="shared" si="1000"/>
        <v>0</v>
      </c>
      <c r="AA397" s="60">
        <f t="shared" si="1001"/>
        <v>0</v>
      </c>
      <c r="AB397" s="66">
        <f t="shared" si="1002"/>
        <v>0</v>
      </c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</row>
    <row r="398" ht="15.75" hidden="1" customHeight="1">
      <c r="A398" s="57"/>
      <c r="B398" s="101" t="str">
        <f t="shared" ref="B398:C398" si="1005">IF(B361="","",B361)</f>
        <v/>
      </c>
      <c r="C398" s="143" t="str">
        <f t="shared" si="1005"/>
        <v/>
      </c>
      <c r="D398" s="46" t="str">
        <f t="shared" si="991"/>
        <v/>
      </c>
      <c r="E398" s="144" t="str">
        <f t="shared" si="936"/>
        <v/>
      </c>
      <c r="F398" s="105"/>
      <c r="G398" s="106"/>
      <c r="H398" s="106"/>
      <c r="I398" s="107" t="str">
        <f t="shared" si="992"/>
        <v/>
      </c>
      <c r="J398" s="105"/>
      <c r="K398" s="106"/>
      <c r="L398" s="106"/>
      <c r="M398" s="107" t="str">
        <f t="shared" si="993"/>
        <v/>
      </c>
      <c r="N398" s="105"/>
      <c r="O398" s="106"/>
      <c r="P398" s="106"/>
      <c r="Q398" s="107" t="str">
        <f t="shared" si="994"/>
        <v/>
      </c>
      <c r="R398" s="105"/>
      <c r="S398" s="106"/>
      <c r="T398" s="106"/>
      <c r="U398" s="107" t="str">
        <f t="shared" si="995"/>
        <v/>
      </c>
      <c r="V398" s="108">
        <f t="shared" si="996"/>
        <v>0</v>
      </c>
      <c r="W398" s="109">
        <f t="shared" si="997"/>
        <v>0</v>
      </c>
      <c r="X398" s="117">
        <f t="shared" si="998"/>
        <v>0</v>
      </c>
      <c r="Y398" s="137" t="str">
        <f t="shared" si="999"/>
        <v/>
      </c>
      <c r="Z398" s="109">
        <f t="shared" si="1000"/>
        <v>0</v>
      </c>
      <c r="AA398" s="106">
        <f t="shared" si="1001"/>
        <v>0</v>
      </c>
      <c r="AB398" s="111">
        <f t="shared" si="1002"/>
        <v>0</v>
      </c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</row>
    <row r="399" ht="15.75" hidden="1" customHeight="1">
      <c r="A399" s="57"/>
      <c r="B399" s="101" t="str">
        <f t="shared" ref="B399:C399" si="1006">IF(B362="","",B362)</f>
        <v/>
      </c>
      <c r="C399" s="143" t="str">
        <f t="shared" si="1006"/>
        <v/>
      </c>
      <c r="D399" s="46" t="str">
        <f t="shared" si="991"/>
        <v/>
      </c>
      <c r="E399" s="144" t="str">
        <f t="shared" si="936"/>
        <v/>
      </c>
      <c r="F399" s="59"/>
      <c r="G399" s="60"/>
      <c r="H399" s="60"/>
      <c r="I399" s="61" t="str">
        <f t="shared" si="992"/>
        <v/>
      </c>
      <c r="J399" s="59"/>
      <c r="K399" s="60"/>
      <c r="L399" s="60"/>
      <c r="M399" s="61" t="str">
        <f t="shared" si="993"/>
        <v/>
      </c>
      <c r="N399" s="59"/>
      <c r="O399" s="60"/>
      <c r="P399" s="60"/>
      <c r="Q399" s="61" t="str">
        <f t="shared" si="994"/>
        <v/>
      </c>
      <c r="R399" s="59"/>
      <c r="S399" s="60"/>
      <c r="T399" s="60"/>
      <c r="U399" s="61" t="str">
        <f t="shared" si="995"/>
        <v/>
      </c>
      <c r="V399" s="104">
        <f t="shared" si="996"/>
        <v>0</v>
      </c>
      <c r="W399" s="64">
        <f t="shared" si="997"/>
        <v>0</v>
      </c>
      <c r="X399" s="65">
        <f t="shared" si="998"/>
        <v>0</v>
      </c>
      <c r="Y399" s="137" t="str">
        <f t="shared" si="999"/>
        <v/>
      </c>
      <c r="Z399" s="64">
        <f t="shared" si="1000"/>
        <v>0</v>
      </c>
      <c r="AA399" s="60">
        <f t="shared" si="1001"/>
        <v>0</v>
      </c>
      <c r="AB399" s="66">
        <f t="shared" si="1002"/>
        <v>0</v>
      </c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</row>
    <row r="400" ht="15.75" hidden="1" customHeight="1">
      <c r="A400" s="72"/>
      <c r="B400" s="119" t="str">
        <f t="shared" ref="B400:C400" si="1007">IF(B363="","",B363)</f>
        <v/>
      </c>
      <c r="C400" s="146" t="str">
        <f t="shared" si="1007"/>
        <v/>
      </c>
      <c r="D400" s="75">
        <f>ROUND(IFERROR((D394*(G394*H394+K394*L394+O394*P394+S394*T394)+D395*(G395*H395+K395*L395+O395*P395+S395*T395)+D396*(G396*H396+K396*L396+O396*P396+S396*T396)+D397*(G397*H397+K397*L397+O397*P397+S397*T397)+D398*(G398*H398+K398*L398+O398*P398+S398*T398)+D399*(G399*H399+K399*L399+O399*P399+S399*T399))/((G394*H394+K394*L394+O394*P394+S394*T394)+(G395*H395+K395*L395+O395*P395+S395*T395)+(G396*H396+K396*L396+O396*P396+S396*T396)+(G397*H397+K397*L397+O397*P397+S397*T397)+(G398*H398+K398*L398+O398*P398+S398*T398)+(G399*H399+K399*L399+O399*P399+S399*T399)),0),2)</f>
        <v>0</v>
      </c>
      <c r="E400" s="147" t="str">
        <f t="shared" si="936"/>
        <v/>
      </c>
      <c r="F400" s="122"/>
      <c r="G400" s="123"/>
      <c r="H400" s="123"/>
      <c r="I400" s="124"/>
      <c r="J400" s="122"/>
      <c r="K400" s="123"/>
      <c r="L400" s="123"/>
      <c r="M400" s="124"/>
      <c r="N400" s="122"/>
      <c r="O400" s="123"/>
      <c r="P400" s="123"/>
      <c r="Q400" s="124"/>
      <c r="R400" s="122"/>
      <c r="S400" s="123"/>
      <c r="T400" s="123"/>
      <c r="U400" s="124"/>
      <c r="V400" s="125">
        <f>SUM(V394:V399)</f>
        <v>0</v>
      </c>
      <c r="W400" s="82">
        <f>IFERROR(V400/AA400,0)</f>
        <v>0</v>
      </c>
      <c r="X400" s="83">
        <f>ROUND(IFERROR(((I394*G394*H394+M394*K394*L394+Q394*O394*P394+U394*S394*T394)+(I395*G395*H395+M395*K395*L395+Q395*O395*P395+U395*S395*T395)+(I396*G396*H396+M396*K396*L396+Q396*O396*P396+U396*S396*T396)+(I397*G397*H397+M397*K397*L397+Q397*O397*P397+U397*S397*T397)+(I398*G398*H398+M398*K398*L398+Q398*O398*P398+U398*S398*T398)+(I399*G399*H399+M399*K399*L399+Q399*O399*P399+U399*S399*T399))/((G394*H394+K394*L394+O394*P394+S394*T394)+(G395*H395+K395*L395+O395*P395+S395*T395)+(G396*H396+K396*L396+O396*P396+S396*T396)+(G397*H397+K397*L397+O397*P397+S397*T397)+(G398*H398+K398*L398+O398*P398+S398*T398)+(G399*H399+K399*L399+O399*P399+S399*T399)),0),3)</f>
        <v>0</v>
      </c>
      <c r="Y400" s="84"/>
      <c r="Z400" s="82">
        <f t="shared" ref="Z400:AA400" si="1008">SUM(Z394:Z399)</f>
        <v>0</v>
      </c>
      <c r="AA400" s="85">
        <f t="shared" si="1008"/>
        <v>0</v>
      </c>
      <c r="AB400" s="86">
        <f>IF(SUM(AB394:AB399)=0,TIME(,0,),TIME(,SUM(AB394:AB399)+30,))</f>
        <v>0</v>
      </c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</row>
    <row r="401" ht="15.75" hidden="1" customHeight="1">
      <c r="A401" s="126" t="s">
        <v>36</v>
      </c>
      <c r="B401" s="27" t="str">
        <f t="shared" ref="B401:C401" si="1009">IF(B364="","",B364)</f>
        <v/>
      </c>
      <c r="C401" s="148" t="str">
        <f t="shared" si="1009"/>
        <v/>
      </c>
      <c r="D401" s="29" t="str">
        <f t="shared" ref="D401:D406" si="1011">D364</f>
        <v/>
      </c>
      <c r="E401" s="30" t="str">
        <f t="shared" si="936"/>
        <v/>
      </c>
      <c r="F401" s="31"/>
      <c r="G401" s="32"/>
      <c r="H401" s="32"/>
      <c r="I401" s="33" t="str">
        <f t="shared" ref="I401:I406" si="1012">IFERROR(ROUND(F401/$Y401,2),)</f>
        <v/>
      </c>
      <c r="J401" s="31"/>
      <c r="K401" s="32"/>
      <c r="L401" s="32"/>
      <c r="M401" s="33" t="str">
        <f t="shared" ref="M401:M406" si="1013">IFERROR(ROUND(J401/$Y401,2),)</f>
        <v/>
      </c>
      <c r="N401" s="31"/>
      <c r="O401" s="32"/>
      <c r="P401" s="32"/>
      <c r="Q401" s="33" t="str">
        <f t="shared" ref="Q401:Q406" si="1014">IFERROR(ROUND(N401/$Y401,2),)</f>
        <v/>
      </c>
      <c r="R401" s="31"/>
      <c r="S401" s="32"/>
      <c r="T401" s="32"/>
      <c r="U401" s="33" t="str">
        <f t="shared" ref="U401:U406" si="1015">IFERROR(ROUND(R401/$Y401,2),)</f>
        <v/>
      </c>
      <c r="V401" s="130">
        <f t="shared" ref="V401:V406" si="1016">(IF(ISNUMBER(F401),F401,1)*G401*H401+IF(ISNUMBER(J401),J401,1)*K401*L401+IF(ISNUMBER(N401),N401,1)*O401*P401+IF(ISNUMBER(R401),R401,1)*S401*T401)*IF(ISNUMBER(E401),E401,1)</f>
        <v>0</v>
      </c>
      <c r="W401" s="36">
        <f t="shared" ref="W401:W406" si="1017">IFERROR((IF(ISNUMBER(F401),F401,1)*G401*H401+IF(ISNUMBER(J401),J401,1)*K401*L401+IF(ISNUMBER(N401),N401,1)*O401*P401+IF(ISNUMBER(R401),R401,1)*S401*T401)*IF(ISNUMBER(E401),E401,1)/(G401*H401+K401*L401+O401*P401+S401*T401),0)</f>
        <v>0</v>
      </c>
      <c r="X401" s="34">
        <f t="shared" ref="X401:X406" si="1018">ROUND(IFERROR((W401/(Y401*IF(ISNUMBER(E401),E401,1))),0),2)</f>
        <v>0</v>
      </c>
      <c r="Y401" s="37" t="str">
        <f t="shared" ref="Y401:Y406" si="1019">IF(ISNUMBER(Y364), Y364+(Y364*$Y$371),"")</f>
        <v/>
      </c>
      <c r="Z401" s="36">
        <f t="shared" ref="Z401:Z406" si="1020">(IF(I401&lt;30%,0,IF(I401&lt;35%,F401*G401*H401*F!$B$33,IF(I401&lt;40%,F401*G401*H401*F!$B$38,IF(I401&lt;45%,F401*G401*H401*F!$B$43,IF(I401&lt;50%,F401*G401*H401*F!$B$48,IF(I401=50%,F401*G401*H401*F!$B$50,IF(I401=51%,F401*G401*H401*F!$B$51,IF(I401=52%,F401*G401*H401*F!$B$52,IF(I401=53%,F401*G401*H401*F!$B$53,IF(I401=54%,F401*G401*H401*F!$B$54,IF(I401=55%,F401*G401*H401*F!$B$55,IF(I401=56%,F401*G401*H401*F!$B$56,IF(I401=57%,F401*G401*H401*F!$B$57,IF(I401=58%,F401*G401*H401*F!$B$58,IF(I401=59%,F401*G401*H401*F!$B$59,IF(I401=60%,F401*G401*H401*F!$B$60,IF(I401=61%,F401*G401*H401*F!$B$61,IF(I401=62%,F401*G401*H401*F!$B$62,IF(I401=63%,F401*G401*H401*F!$B$63,IF(I401=64%,F401*G401*H401*F!$B$64,IF(I401=65%,F401*G401*H401*F!$B$65,IF(I401=66%,F401*G401*H401*F!$B$66,IF(I401=67%,F401*G401*H401*F!$B$67,IF(I401=68%,F401*G401*H401*F!$B$68,IF(I401=69%,F401*G401*H401*F!$B$69,IF(I401=70%,F401*G401*H401*F!$B$70,IF(I401=71%,F401*G401*H401*F!$B$71,IF(I401=72%,F401*G401*H401*F!$B$72,IF(I401=73%,F401*G401*H401*F!$B$73,IF(I401=74%,F401*G401*H401*F!$B$74,IF(I401=75%,F401*G401*H401*F!$B$75,IF(I401=76%,F401*G401*H401*F!$B$76,IF(I401=77%,F401*G401*H401*F!$B$77,IF(I401=78%,F401*G401*H401*F!$B$78,IF(I401=79%,F401*G401*H401*F!$B$79,IF(I401=80%,F401*G401*H401*F!$B$80,IF(I401=81%,F401*G401*H401*F!$B$81,IF(I401=82%,F401*G401*H401*F!$B$82,IF(I401=83%,F401*G401*H401*F!$B$83,IF(I401=84%,F401*G401*H401*F!$B$84,IF(I401=85%,F401*G401*H401*F!$B$85,IF(I401=86%,F401*G401*H401*F!$B$86,IF(I401=87%,F401*G401*H401*F!$B$87,IF(I401=88%,F401*G401*H401*F!$B$88,IF(I401=89%,F401*G401*H401*F!$B$89,IF(I401=90%,F401*G401*H401*F!$B$90,IF(I401=91%,F401*G401*H401*F!$B$91,IF(I401=92%,F401*G401*H401*F!$B$92,IF(I401=93%,F401*G401*H401*F!$B$93,IF(I401=94%,F401*G401*H401*F!$B$94,IF(I401=95%,F401*G401*H401*F!$B$95,IF(I401=96%,F401*G401*H401*F!$B$96,IF(I401=97%,F401*G401*H401*F!$B$97,IF(I401=98%,F401*G401*H401*F!$B$98,IF(I401=99%,F401*G401*H401*F!$B$99,IF(I401&gt;99%,F401*G401*H401*F!$B$100,))))))))))))))))))))))))))))))))))))))))))))))))))))))))+IF(M401&lt;30%,0,IF(M401&lt;35%,J401*K401*L401*F!$B$33,IF(M401&lt;40%,J401*K401*L401*F!$B$38,IF(M401&lt;45%,J401*K401*L401*F!$B$43,IF(M401&lt;50%,J401*K401*L401*F!$B$48,IF(M401=50%,J401*K401*L401*F!$B$50,IF(M401=51%,J401*K401*L401*F!$B$51,IF(M401=52%,J401*K401*L401*F!$B$52,IF(M401=53%,J401*K401*L401*F!$B$53,IF(M401=54%,J401*K401*L401*F!$B$54,IF(M401=55%,J401*K401*L401*F!$B$55,IF(M401=56%,J401*K401*L401*F!$B$56,IF(M401=57%,J401*K401*L401*F!$B$57,IF(M401=58%,J401*K401*L401*F!$B$58,IF(M401=59%,J401*K401*L401*F!$B$59,IF(M401=60%,J401*K401*L401*F!$B$60,IF(M401=61%,J401*K401*L401*F!$B$61,IF(M401=62%,J401*K401*L401*F!$B$62,IF(M401=63%,J401*K401*L401*F!$B$63,IF(M401=64%,J401*K401*L401*F!$B$64,IF(M401=65%,J401*K401*L401*F!$B$65,IF(M401=66%,J401*K401*L401*F!$B$66,IF(M401=67%,J401*K401*L401*F!$B$67,IF(M401=68%,J401*K401*L401*F!$B$68,IF(M401=69%,J401*K401*L401*F!$B$69,IF(M401=70%,J401*K401*L401*F!$B$70,IF(M401=71%,J401*K401*L401*F!$B$71,IF(M401=72%,J401*K401*L401*F!$B$72,IF(M401=73%,J401*K401*L401*F!$B$73,IF(M401=74%,J401*K401*L401*F!$B$74,IF(M401=75%,J401*K401*L401*F!$B$75,IF(M401=76%,J401*K401*L401*F!$B$76,IF(M401=77%,J401*K401*L401*F!$B$77,IF(M401=78%,J401*K401*L401*F!$B$78,IF(M401=79%,J401*K401*L401*F!$B$79,IF(M401=80%,J401*K401*L401*F!$B$80,IF(M401=81%,J401*K401*L401*F!$B$81,IF(M401=82%,J401*K401*L401*F!$B$82,IF(M401=83%,J401*K401*L401*F!$B$83,IF(M401=84%,J401*K401*L401*F!$B$84,IF(M401=85%,J401*K401*L401*F!$B$85,IF(M401=86%,J401*K401*L401*F!$B$86,IF(M401=87%,J401*K401*L401*F!$B$87,IF(M401=88%,J401*K401*L401*F!$B$88,IF(M401=89%,J401*K401*L401*F!$B$89,IF(M401=90%,J401*K401*L401*F!$B$90,IF(M401=91%,J401*K401*L401*F!$B$91,IF(M401=92%,J401*K401*L401*F!$B$92,IF(M401=93%,J401*K401*L401*F!$B$93,IF(M401=94%,J401*K401*L401*F!$B$94,IF(M401=95%,J401*K401*L401*F!$B$95,IF(M401=96%,J401*K401*L401*F!$B$96,IF(M401=97%,J401*K401*L401*F!$B$97,IF(M401=98%,J401*K401*L401*F!$B$98,IF(M401=99%,J401*K401*L401*F!$B$99,IF(M401&gt;99%,J401*K401*L401*F!$B$100,))))))))))))))))))))))))))))))))))))))))))))))))))))))))+IF(Q401&lt;30%,0,IF(Q401&lt;35%,N401*O401*P401*F!$B$33,IF(Q401&lt;40%,N401*O401*P401*F!$B$38,IF(Q401&lt;45%,N401*O401*P401*F!$B$43,IF(Q401&lt;50%,N401*O401*P401*F!$B$48,IF(Q401=50%,N401*O401*P401*F!$B$50,IF(Q401=51%,N401*O401*P401*F!$B$51,IF(Q401=52%,N401*O401*P401*F!$B$52,IF(Q401=53%,N401*O401*P401*F!$B$53,IF(Q401=54%,N401*O401*P401*F!$B$54,IF(Q401=55%,N401*O401*P401*F!$B$55,IF(Q401=56%,N401*O401*P401*F!$B$56,IF(Q401=57%,N401*O401*P401*F!$B$57,IF(Q401=58%,N401*O401*P401*F!$B$58,IF(Q401=59%,N401*O401*P401*F!$B$59,IF(Q401=60%,N401*O401*P401*F!$B$60,IF(Q401=61%,N401*O401*P401*F!$B$61,IF(Q401=62%,N401*O401*P401*F!$B$62,IF(Q401=63%,N401*O401*P401*F!$B$63,IF(Q401=64%,N401*O401*P401*F!$B$64,IF(Q401=65%,N401*O401*P401*F!$B$65,IF(Q401=66%,N401*O401*P401*F!$B$66,IF(Q401=67%,N401*O401*P401*F!$B$67,IF(Q401=68%,N401*O401*P401*F!$B$68,IF(Q401=69%,N401*O401*P401*F!$B$69,IF(Q401=70%,N401*O401*P401*F!$B$70,IF(Q401=71%,N401*O401*P401*F!$B$71,IF(Q401=72%,N401*O401*P401*F!$B$72,IF(Q401=73%,N401*O401*P401*F!$B$73,IF(Q401=74%,N401*O401*P401*F!$B$74,IF(Q401=75%,N401*O401*P401*F!$B$75,IF(Q401=76%,N401*O401*P401*F!$B$76,IF(Q401=77%,N401*O401*P401*F!$B$77,IF(Q401=78%,N401*O401*P401*F!$B$78,IF(Q401=79%,N401*O401*P401*F!$B$79,IF(Q401=80%,N401*O401*P401*F!$B$80,IF(Q401=81%,N401*O401*P401*F!$B$81,IF(Q401=82%,N401*O401*P401*F!$B$82,IF(Q401=83%,N401*O401*P401*F!$B$83,IF(Q401=84%,N401*O401*P401*F!$B$84,IF(Q401=85%,N401*O401*P401*F!$B$85,IF(Q401=86%,N401*O401*P401*F!$B$86,IF(Q401=87%,N401*O401*P401*F!$B$87,IF(Q401=88%,N401*O401*P401*F!$B$88,IF(Q401=89%,N401*O401*P401*F!$B$89,IF(Q401=90%,N401*O401*P401*F!$B$90,IF(Q401=91%,N401*O401*P401*F!$B$91,IF(Q401=92%,N401*O401*P401*F!$B$92,IF(Q401=93%,N401*O401*P401*F!$B$93,IF(Q401=94%,N401*O401*P401*F!$B$94,IF(Q401=95%,N401*O401*P401*F!$B$95,IF(Q401=96%,N401*O401*P401*F!$B$96,IF(Q401=97%,N401*O401*P401*F!$B$97,IF(Q401=98%,N401*O401*P401*F!$B$98,IF(Q401=99%,N401*O401*P401*F!$B$99,IF(Q401&gt;99%,N401*O401*P401*F!$B$100,))))))))))))))))))))))))))))))))))))))))))))))))))))))))+IF(U401&lt;30%,0,IF(U401&lt;35%,R401*S401*T401*F!$B$33,IF(U401&lt;40%,R401*S401*T401*F!$B$38,IF(U401&lt;45%,R401*S401*T401*F!$B$43,IF(U401&lt;50%,R401*S401*T401*F!$B$48,IF(U401=50%,R401*S401*T401*F!$B$50,IF(U401=51%,R401*S401*T401*F!$B$51,IF(U401=52%,R401*S401*T401*F!$B$52,IF(U401=53%,R401*S401*T401*F!$B$53,IF(U401=54%,R401*S401*T401*F!$B$54,IF(U401=55%,R401*S401*T401*F!$B$55,IF(U401=56%,R401*S401*T401*F!$B$56,IF(U401=57%,R401*S401*T401*F!$B$57,IF(U401=58%,R401*S401*T401*F!$B$58,IF(U401=59%,R401*S401*T401*F!$B$59,IF(U401=60%,R401*S401*T401*F!$B$60,IF(U401=61%,R401*S401*T401*F!$B$61,IF(U401=62%,R401*S401*T401*F!$B$62,IF(U401=63%,R401*S401*T401*F!$B$63,IF(U401=64%,R401*S401*T401*F!$B$64,IF(U401=65%,R401*S401*T401*F!$B$65,IF(U401=66%,R401*S401*T401*F!$B$66,IF(U401=67%,R401*S401*T401*F!$B$67,IF(U401=68%,R401*S401*T401*F!$B$68,IF(U401=69%,R401*S401*T401*F!$B$69,IF(U401=70%,R401*S401*T401*F!$B$70,IF(U401=71%,R401*S401*T401*F!$B$71,IF(U401=72%,R401*S401*T401*F!$B$72,IF(U401=73%,R401*S401*T401*F!$B$73,IF(U401=74%,R401*S401*T401*F!$B$74,IF(U401=75%,R401*S401*T401*F!$B$75,IF(U401=76%,R401*S401*T401*F!$B$76,IF(U401=77%,R401*S401*T401*F!$B$77,IF(U401=78%,R401*S401*T401*F!$B$78,IF(U401=79%,R401*S401*T401*F!$B$79,IF(U401=80%,R401*S401*T401*F!$B$80,IF(U401=81%,R401*S401*T401*F!$B$81,IF(U401=82%,R401*S401*T401*F!$B$82,IF(U401=83%,R401*S401*T401*F!$B$83,IF(U401=84%,R401*S401*T401*F!$B$84,IF(U401=85%,R401*S401*T401*F!$B$85,IF(U401=86%,R401*S401*T401*F!$B$86,IF(U401=87%,R401*S401*T401*F!$B$87,IF(U401=88%,R401*S401*T401*F!$B$88,IF(U401=89%,R401*S401*T401*F!$B$89,IF(U401=90%,R401*S401*T401*F!$B$90,IF(U401=91%,R401*S401*T401*F!$B$91,IF(U401=92%,R401*S401*T401*F!$B$92,IF(U401=93%,R401*S401*T401*F!$B$93,IF(U401=94%,R401*S401*T401*F!$B$94,IF(U401=95%,R401*S401*T401*F!$B$95,IF(U401=96%,R401*S401*T401*F!$B$96,IF(U401=97%,R401*S401*T401*F!$B$97,IF(U401=98%,R401*S401*T401*F!$B$98,IF(U401=99%,R401*S401*T401*F!$B$99,IF(U401&gt;99%,R401*S401*T401*F!$B$100)))))))))))))))))))))))))))))))))))))))))))))))))))))))))*IF(ISNUMBER(E401),E401,1)*IF(ISNUMBER(D401),D401,1)</f>
        <v>0</v>
      </c>
      <c r="AA401" s="32">
        <f t="shared" ref="AA401:AA406" si="1021">G401*H401+K401*L401+O401*P401+S401*T401</f>
        <v>0</v>
      </c>
      <c r="AB401" s="38">
        <f t="shared" ref="AB401:AB406" si="1022">(H401*(IF(I401&lt;45%,0.5,IF(I401&lt;55%,0.8,IF(I401&lt;65%,0.9,IF(I401&lt;75%,1,IF(I401&lt;85%,1.1,1.2))))))+L401*(IF(M401&lt;45%,0.5,IF(M401&lt;55%,0.8,IF(M401&lt;65%,0.9,IF(M401&lt;75%,1,IF(M401&lt;85%,1.1,1.2))))))+P401*(IF(Q401&lt;45%,0.5,IF(Q401&lt;55%,0.8,IF(Q401&lt;65%,0.9,IF(Q401&lt;75%,1,IF(Q401&lt;85%,1.1,1.2))))))+T401*(IF(U401&lt;45%,0.5,IF(U401&lt;55%,0.8,IF(U401&lt;65%,0.9,IF(U401&lt;75%,1,IF(U401&lt;85%,1.1,1.2)))))))*IF(D401&gt;=0.8,6,IF(D401&lt;=0.4,1.5,3))</f>
        <v>0</v>
      </c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</row>
    <row r="402" ht="15.75" hidden="1" customHeight="1">
      <c r="A402" s="142">
        <f>A395+1</f>
        <v>42407</v>
      </c>
      <c r="B402" s="44" t="str">
        <f t="shared" ref="B402:C402" si="1010">IF(B365="","",B365)</f>
        <v/>
      </c>
      <c r="C402" s="149" t="str">
        <f t="shared" si="1010"/>
        <v/>
      </c>
      <c r="D402" s="46" t="str">
        <f t="shared" si="1011"/>
        <v/>
      </c>
      <c r="E402" s="47" t="str">
        <f t="shared" si="936"/>
        <v/>
      </c>
      <c r="F402" s="48"/>
      <c r="G402" s="49"/>
      <c r="H402" s="49"/>
      <c r="I402" s="50" t="str">
        <f t="shared" si="1012"/>
        <v/>
      </c>
      <c r="J402" s="48"/>
      <c r="K402" s="49"/>
      <c r="L402" s="49"/>
      <c r="M402" s="50" t="str">
        <f t="shared" si="1013"/>
        <v/>
      </c>
      <c r="N402" s="48"/>
      <c r="O402" s="49"/>
      <c r="P402" s="49"/>
      <c r="Q402" s="50" t="str">
        <f t="shared" si="1014"/>
        <v/>
      </c>
      <c r="R402" s="48"/>
      <c r="S402" s="49"/>
      <c r="T402" s="49"/>
      <c r="U402" s="50" t="str">
        <f t="shared" si="1015"/>
        <v/>
      </c>
      <c r="V402" s="134">
        <f t="shared" si="1016"/>
        <v>0</v>
      </c>
      <c r="W402" s="53">
        <f t="shared" si="1017"/>
        <v>0</v>
      </c>
      <c r="X402" s="54">
        <f t="shared" si="1018"/>
        <v>0</v>
      </c>
      <c r="Y402" s="137" t="str">
        <f t="shared" si="1019"/>
        <v/>
      </c>
      <c r="Z402" s="53">
        <f t="shared" si="1020"/>
        <v>0</v>
      </c>
      <c r="AA402" s="49">
        <f t="shared" si="1021"/>
        <v>0</v>
      </c>
      <c r="AB402" s="56">
        <f t="shared" si="1022"/>
        <v>0</v>
      </c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</row>
    <row r="403" ht="15.75" hidden="1" customHeight="1">
      <c r="A403" s="57"/>
      <c r="B403" s="44" t="str">
        <f t="shared" ref="B403:C403" si="1023">IF(B366="","",B366)</f>
        <v/>
      </c>
      <c r="C403" s="149" t="str">
        <f t="shared" si="1023"/>
        <v/>
      </c>
      <c r="D403" s="46" t="str">
        <f t="shared" si="1011"/>
        <v/>
      </c>
      <c r="E403" s="47" t="str">
        <f t="shared" si="936"/>
        <v/>
      </c>
      <c r="F403" s="59"/>
      <c r="G403" s="60"/>
      <c r="H403" s="60"/>
      <c r="I403" s="61" t="str">
        <f t="shared" si="1012"/>
        <v/>
      </c>
      <c r="J403" s="59"/>
      <c r="K403" s="60"/>
      <c r="L403" s="60"/>
      <c r="M403" s="61" t="str">
        <f t="shared" si="1013"/>
        <v/>
      </c>
      <c r="N403" s="59"/>
      <c r="O403" s="60"/>
      <c r="P403" s="60"/>
      <c r="Q403" s="61" t="str">
        <f t="shared" si="1014"/>
        <v/>
      </c>
      <c r="R403" s="59"/>
      <c r="S403" s="60"/>
      <c r="T403" s="60"/>
      <c r="U403" s="61" t="str">
        <f t="shared" si="1015"/>
        <v/>
      </c>
      <c r="V403" s="104">
        <f t="shared" si="1016"/>
        <v>0</v>
      </c>
      <c r="W403" s="64">
        <f t="shared" si="1017"/>
        <v>0</v>
      </c>
      <c r="X403" s="65">
        <f t="shared" si="1018"/>
        <v>0</v>
      </c>
      <c r="Y403" s="137" t="str">
        <f t="shared" si="1019"/>
        <v/>
      </c>
      <c r="Z403" s="64">
        <f t="shared" si="1020"/>
        <v>0</v>
      </c>
      <c r="AA403" s="60">
        <f t="shared" si="1021"/>
        <v>0</v>
      </c>
      <c r="AB403" s="66">
        <f t="shared" si="1022"/>
        <v>0</v>
      </c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</row>
    <row r="404" ht="15.75" hidden="1" customHeight="1">
      <c r="A404" s="57"/>
      <c r="B404" s="44" t="str">
        <f t="shared" ref="B404:C404" si="1024">IF(B367="","",B367)</f>
        <v/>
      </c>
      <c r="C404" s="149" t="str">
        <f t="shared" si="1024"/>
        <v/>
      </c>
      <c r="D404" s="46" t="str">
        <f t="shared" si="1011"/>
        <v/>
      </c>
      <c r="E404" s="47" t="str">
        <f t="shared" si="936"/>
        <v/>
      </c>
      <c r="F404" s="48"/>
      <c r="G404" s="49"/>
      <c r="H404" s="49"/>
      <c r="I404" s="50" t="str">
        <f t="shared" si="1012"/>
        <v/>
      </c>
      <c r="J404" s="48"/>
      <c r="K404" s="49"/>
      <c r="L404" s="49"/>
      <c r="M404" s="50" t="str">
        <f t="shared" si="1013"/>
        <v/>
      </c>
      <c r="N404" s="48"/>
      <c r="O404" s="49"/>
      <c r="P404" s="49"/>
      <c r="Q404" s="50" t="str">
        <f t="shared" si="1014"/>
        <v/>
      </c>
      <c r="R404" s="48"/>
      <c r="S404" s="49"/>
      <c r="T404" s="49"/>
      <c r="U404" s="50" t="str">
        <f t="shared" si="1015"/>
        <v/>
      </c>
      <c r="V404" s="134">
        <f t="shared" si="1016"/>
        <v>0</v>
      </c>
      <c r="W404" s="53">
        <f t="shared" si="1017"/>
        <v>0</v>
      </c>
      <c r="X404" s="54">
        <f t="shared" si="1018"/>
        <v>0</v>
      </c>
      <c r="Y404" s="137" t="str">
        <f t="shared" si="1019"/>
        <v/>
      </c>
      <c r="Z404" s="53">
        <f t="shared" si="1020"/>
        <v>0</v>
      </c>
      <c r="AA404" s="49">
        <f t="shared" si="1021"/>
        <v>0</v>
      </c>
      <c r="AB404" s="56">
        <f t="shared" si="1022"/>
        <v>0</v>
      </c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</row>
    <row r="405" ht="15.75" hidden="1" customHeight="1">
      <c r="A405" s="57"/>
      <c r="B405" s="44" t="str">
        <f t="shared" ref="B405:C405" si="1025">IF(B368="","",B368)</f>
        <v/>
      </c>
      <c r="C405" s="149" t="str">
        <f t="shared" si="1025"/>
        <v/>
      </c>
      <c r="D405" s="46" t="str">
        <f t="shared" si="1011"/>
        <v/>
      </c>
      <c r="E405" s="47" t="str">
        <f t="shared" si="936"/>
        <v/>
      </c>
      <c r="F405" s="59"/>
      <c r="G405" s="60"/>
      <c r="H405" s="60"/>
      <c r="I405" s="61" t="str">
        <f t="shared" si="1012"/>
        <v/>
      </c>
      <c r="J405" s="59"/>
      <c r="K405" s="60"/>
      <c r="L405" s="60"/>
      <c r="M405" s="61" t="str">
        <f t="shared" si="1013"/>
        <v/>
      </c>
      <c r="N405" s="59"/>
      <c r="O405" s="60"/>
      <c r="P405" s="60"/>
      <c r="Q405" s="61" t="str">
        <f t="shared" si="1014"/>
        <v/>
      </c>
      <c r="R405" s="59"/>
      <c r="S405" s="60"/>
      <c r="T405" s="60"/>
      <c r="U405" s="61" t="str">
        <f t="shared" si="1015"/>
        <v/>
      </c>
      <c r="V405" s="104">
        <f t="shared" si="1016"/>
        <v>0</v>
      </c>
      <c r="W405" s="64">
        <f t="shared" si="1017"/>
        <v>0</v>
      </c>
      <c r="X405" s="62">
        <f t="shared" si="1018"/>
        <v>0</v>
      </c>
      <c r="Y405" s="137" t="str">
        <f t="shared" si="1019"/>
        <v/>
      </c>
      <c r="Z405" s="64">
        <f t="shared" si="1020"/>
        <v>0</v>
      </c>
      <c r="AA405" s="60">
        <f t="shared" si="1021"/>
        <v>0</v>
      </c>
      <c r="AB405" s="66">
        <f t="shared" si="1022"/>
        <v>0</v>
      </c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</row>
    <row r="406" ht="15.75" hidden="1" customHeight="1">
      <c r="A406" s="57"/>
      <c r="B406" s="44" t="str">
        <f t="shared" ref="B406:C406" si="1026">IF(B369="","",B369)</f>
        <v/>
      </c>
      <c r="C406" s="149" t="str">
        <f t="shared" si="1026"/>
        <v/>
      </c>
      <c r="D406" s="46" t="str">
        <f t="shared" si="1011"/>
        <v/>
      </c>
      <c r="E406" s="47" t="str">
        <f t="shared" si="936"/>
        <v/>
      </c>
      <c r="F406" s="48"/>
      <c r="G406" s="49"/>
      <c r="H406" s="49"/>
      <c r="I406" s="50" t="str">
        <f t="shared" si="1012"/>
        <v/>
      </c>
      <c r="J406" s="48"/>
      <c r="K406" s="49"/>
      <c r="L406" s="49"/>
      <c r="M406" s="50" t="str">
        <f t="shared" si="1013"/>
        <v/>
      </c>
      <c r="N406" s="48"/>
      <c r="O406" s="49"/>
      <c r="P406" s="49"/>
      <c r="Q406" s="50" t="str">
        <f t="shared" si="1014"/>
        <v/>
      </c>
      <c r="R406" s="48"/>
      <c r="S406" s="49"/>
      <c r="T406" s="49"/>
      <c r="U406" s="50" t="str">
        <f t="shared" si="1015"/>
        <v/>
      </c>
      <c r="V406" s="134">
        <f t="shared" si="1016"/>
        <v>0</v>
      </c>
      <c r="W406" s="53">
        <f t="shared" si="1017"/>
        <v>0</v>
      </c>
      <c r="X406" s="54">
        <f t="shared" si="1018"/>
        <v>0</v>
      </c>
      <c r="Y406" s="137" t="str">
        <f t="shared" si="1019"/>
        <v/>
      </c>
      <c r="Z406" s="53">
        <f t="shared" si="1020"/>
        <v>0</v>
      </c>
      <c r="AA406" s="49">
        <f t="shared" si="1021"/>
        <v>0</v>
      </c>
      <c r="AB406" s="56">
        <f t="shared" si="1022"/>
        <v>0</v>
      </c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</row>
    <row r="407" ht="15.75" hidden="1" customHeight="1">
      <c r="A407" s="72"/>
      <c r="B407" s="73" t="str">
        <f t="shared" ref="B407:C407" si="1027">IF(B370="","",B370)</f>
        <v/>
      </c>
      <c r="C407" s="150" t="str">
        <f t="shared" si="1027"/>
        <v/>
      </c>
      <c r="D407" s="75">
        <f>ROUND(IFERROR((D401*(G401*H401+K401*L401+O401*P401+S401*T401)+D402*(G402*H402+K402*L402+O402*P402+S402*T402)+D403*(G403*H403+K403*L403+O403*P403+S403*T403)+D404*(G404*H404+K404*L404+O404*P404+S404*T404)+D405*(G405*H405+K405*L405+O405*P405+S405*T405)+D406*(G406*H406+K406*L406+O406*P406+S406*T406))/((G401*H401+K401*L401+O401*P401+S401*T401)+(G402*H402+K402*L402+O402*P402+S402*T402)+(G403*H403+K403*L403+O403*P403+S403*T403)+(G404*H404+K404*L404+O404*P404+S404*T404)+(G405*H405+K405*L405+O405*P405+S405*T405)+(G406*H406+K406*L406+O406*P406+S406*T406)),0),2)</f>
        <v>0</v>
      </c>
      <c r="E407" s="76" t="str">
        <f t="shared" si="936"/>
        <v/>
      </c>
      <c r="F407" s="77"/>
      <c r="G407" s="78"/>
      <c r="H407" s="78"/>
      <c r="I407" s="79"/>
      <c r="J407" s="77"/>
      <c r="K407" s="78"/>
      <c r="L407" s="78"/>
      <c r="M407" s="79"/>
      <c r="N407" s="77"/>
      <c r="O407" s="78"/>
      <c r="P407" s="78"/>
      <c r="Q407" s="79"/>
      <c r="R407" s="77"/>
      <c r="S407" s="78"/>
      <c r="T407" s="78"/>
      <c r="U407" s="79"/>
      <c r="V407" s="125">
        <f>SUM(V401:V406)</f>
        <v>0</v>
      </c>
      <c r="W407" s="82">
        <f t="shared" ref="W407:W408" si="1029">IFERROR(V407/AA407,0)</f>
        <v>0</v>
      </c>
      <c r="X407" s="83">
        <f>ROUND(IFERROR(((I401*G401*H401+M401*K401*L401+Q401*O401*P401+U401*S401*T401)+(I402*G402*H402+M402*K402*L402+Q402*O402*P402+U402*S402*T402)+(I403*G403*H403+M403*K403*L403+Q403*O403*P403+U403*S403*T403)+(I404*G404*H404+M404*K404*L404+Q404*O404*P404+U404*S404*T404)+(I405*G405*H405+M405*K405*L405+Q405*O405*P405+U405*S405*T405)+(I406*G406*H406+M406*K406*L406+Q406*O406*P406+U406*S406*T406))/((G401*H401+K401*L401+O401*P401+S401*T401)+(G402*H402+K402*L402+O402*P402+S402*T402)+(G403*H403+K403*L403+O403*P403+S403*T403)+(G404*H404+K404*L404+O404*P404+S404*T404)+(G405*H405+K405*L405+O405*P405+S405*T405)+(G406*H406+K406*L406+O406*P406+S406*T406)),0),3)</f>
        <v>0</v>
      </c>
      <c r="Y407" s="84"/>
      <c r="Z407" s="82">
        <f t="shared" ref="Z407:AA407" si="1028">SUM(Z401:Z406)</f>
        <v>0</v>
      </c>
      <c r="AA407" s="85">
        <f t="shared" si="1028"/>
        <v>0</v>
      </c>
      <c r="AB407" s="86">
        <f>IF(SUM(AB401:AB406)=0,TIME(,0,),TIME(,SUM(AB401:AB406)+30,))</f>
        <v>0</v>
      </c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</row>
    <row r="408" ht="15.75" customHeight="1">
      <c r="A408" s="151" t="s">
        <v>57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3"/>
      <c r="V408" s="152">
        <f>V416+V423+V430+V437+V444</f>
        <v>16506.8</v>
      </c>
      <c r="W408" s="153">
        <f t="shared" si="1029"/>
        <v>22.06791444</v>
      </c>
      <c r="X408" s="154"/>
      <c r="Y408" s="155">
        <v>0.01</v>
      </c>
      <c r="Z408" s="156" t="str">
        <f t="shared" ref="Z408:AB408" si="1030">Z416+Z423+Z430+Z437+Z444</f>
        <v>#REF!</v>
      </c>
      <c r="AA408" s="154">
        <f t="shared" si="1030"/>
        <v>748</v>
      </c>
      <c r="AB408" s="157">
        <f t="shared" si="1030"/>
        <v>0.1909722222</v>
      </c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</row>
    <row r="409" ht="15.75" customHeight="1">
      <c r="A409" s="15" t="s">
        <v>1</v>
      </c>
      <c r="B409" s="158" t="s">
        <v>2</v>
      </c>
      <c r="C409" s="159" t="s">
        <v>3</v>
      </c>
      <c r="D409" s="160" t="s">
        <v>46</v>
      </c>
      <c r="E409" s="18" t="s">
        <v>5</v>
      </c>
      <c r="F409" s="158" t="s">
        <v>6</v>
      </c>
      <c r="G409" s="158" t="s">
        <v>7</v>
      </c>
      <c r="H409" s="158" t="s">
        <v>8</v>
      </c>
      <c r="I409" s="158" t="s">
        <v>9</v>
      </c>
      <c r="J409" s="158" t="s">
        <v>6</v>
      </c>
      <c r="K409" s="158" t="s">
        <v>7</v>
      </c>
      <c r="L409" s="158" t="s">
        <v>8</v>
      </c>
      <c r="M409" s="158" t="s">
        <v>9</v>
      </c>
      <c r="N409" s="158" t="s">
        <v>6</v>
      </c>
      <c r="O409" s="158" t="s">
        <v>7</v>
      </c>
      <c r="P409" s="158" t="s">
        <v>8</v>
      </c>
      <c r="Q409" s="158" t="s">
        <v>9</v>
      </c>
      <c r="R409" s="158" t="s">
        <v>6</v>
      </c>
      <c r="S409" s="158" t="s">
        <v>7</v>
      </c>
      <c r="T409" s="158" t="s">
        <v>8</v>
      </c>
      <c r="U409" s="158" t="s">
        <v>9</v>
      </c>
      <c r="V409" s="158" t="s">
        <v>10</v>
      </c>
      <c r="W409" s="160" t="s">
        <v>11</v>
      </c>
      <c r="X409" s="160" t="s">
        <v>12</v>
      </c>
      <c r="Y409" s="181" t="s">
        <v>13</v>
      </c>
      <c r="Z409" s="162" t="s">
        <v>14</v>
      </c>
      <c r="AA409" s="158" t="s">
        <v>15</v>
      </c>
      <c r="AB409" s="163" t="s">
        <v>16</v>
      </c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</row>
    <row r="410" ht="15.75" customHeight="1">
      <c r="A410" s="26" t="s">
        <v>17</v>
      </c>
      <c r="B410" s="27" t="str">
        <f t="shared" ref="B410:C410" si="1031">IF(B373="","",B373)</f>
        <v>Средняя</v>
      </c>
      <c r="C410" s="148" t="str">
        <f t="shared" si="1031"/>
        <v>Ягодичный мост со штангой</v>
      </c>
      <c r="D410" s="29">
        <f t="shared" ref="D410:D415" si="1032">D373</f>
        <v>1</v>
      </c>
      <c r="E410" s="30" t="str">
        <f t="shared" ref="E410:E444" si="1033">IF(E373="","",E373)</f>
        <v/>
      </c>
      <c r="F410" s="31">
        <f t="shared" ref="F410:F415" si="1034">IF(I410&lt;&gt;0,(IFERROR(IF($Y410&gt;50,MROUND($Y410*I410,2.5),IF($Y410&lt;15,MROUND($Y410*I410,0.1),MROUND($Y410*I410,1))),)),"")</f>
        <v>40</v>
      </c>
      <c r="G410" s="32">
        <v>12.0</v>
      </c>
      <c r="H410" s="32">
        <v>1.0</v>
      </c>
      <c r="I410" s="33">
        <v>0.4</v>
      </c>
      <c r="J410" s="31">
        <f t="shared" ref="J410:J415" si="1035">IF(M410&lt;&gt;0,(IFERROR(IF($Y410&gt;50,MROUND($Y410*M410,2.5),IF($Y410&lt;15,MROUND($Y410*M410,0.1),MROUND($Y410*M410,1))),)),"")</f>
        <v>47.5</v>
      </c>
      <c r="K410" s="32">
        <v>10.0</v>
      </c>
      <c r="L410" s="32">
        <v>4.0</v>
      </c>
      <c r="M410" s="33">
        <v>0.47</v>
      </c>
      <c r="N410" s="31" t="str">
        <f t="shared" ref="N410:N415" si="1036">IF(Q410&lt;&gt;0,(IFERROR(IF($Y410&gt;50,MROUND($Y410*Q410,2.5),IF($Y410&lt;15,MROUND($Y410*Q410,0.1),MROUND($Y410*Q410,1))),)),"")</f>
        <v/>
      </c>
      <c r="O410" s="32"/>
      <c r="P410" s="32"/>
      <c r="Q410" s="33">
        <v>0.0</v>
      </c>
      <c r="R410" s="31" t="str">
        <f t="shared" ref="R410:R415" si="1037">IF(U410&lt;&gt;0,(IFERROR(IF($Y410&gt;50,MROUND($Y410*U410,2.5),IF($Y410&lt;15,MROUND($Y410*U410,0.1),MROUND($Y410*U410,1))),)),"")</f>
        <v/>
      </c>
      <c r="S410" s="32"/>
      <c r="T410" s="32"/>
      <c r="U410" s="34">
        <v>0.0</v>
      </c>
      <c r="V410" s="35">
        <f t="shared" ref="V410:V415" si="1038">(IF(ISNUMBER(F410),F410,1)*G410*H410+IF(ISNUMBER(J410),J410,1)*K410*L410+IF(ISNUMBER(N410),N410,1)*O410*P410+IF(ISNUMBER(R410),R410,1)*S410*T410)*IF(ISNUMBER(E410),E410,1)</f>
        <v>2380</v>
      </c>
      <c r="W410" s="36">
        <f t="shared" ref="W410:W415" si="1039">IFERROR((IF(ISNUMBER(F410),F410,1)*G410*H410+IF(ISNUMBER(J410),J410,1)*K410*L410+IF(ISNUMBER(N410),N410,1)*O410*P410+IF(ISNUMBER(R410),R410,1)*S410*T410)*IF(ISNUMBER(E410),E410,1)/(G410*H410+K410*L410+O410*P410+S410*T410),0)</f>
        <v>45.76923077</v>
      </c>
      <c r="X410" s="34">
        <f t="shared" ref="X410:X415" si="1040">ROUND(IFERROR((W410/(Y410*IF(ISNUMBER(E410),E410,1))),0),2)</f>
        <v>0.46</v>
      </c>
      <c r="Y410" s="37">
        <f t="shared" ref="Y410:Y415" si="1041">IF(ISNUMBER(Y373), Y373+(Y373*$Y$408),"")</f>
        <v>100.4101512</v>
      </c>
      <c r="Z410" s="36" t="str">
        <f t="shared" ref="Z410:Z415" si="1042">(IF(I410&lt;30%,0,IF(I410&lt;35%,F410*G410*H410*F!$B$33,IF(I410&lt;40%,F410*G410*H410*F!$B$38,IF(I410&lt;45%,F410*G410*H410*F!$B$43,IF(I410&lt;50%,F410*G410*H410*F!$B$48,IF(I410=50%,F410*G410*H410*F!$B$50,IF(I410=51%,F410*G410*H410*F!$B$51,IF(I410=52%,F410*G410*H410*F!$B$52,IF(I410=53%,F410*G410*H410*F!$B$53,IF(I410=54%,F410*G410*H410*F!$B$54,IF(I410=55%,F410*G410*H410*F!$B$55,IF(I410=56%,F410*G410*H410*F!$B$56,IF(I410=57%,F410*G410*H410*F!$B$57,IF(I410=58%,F410*G410*H410*F!$B$58,IF(I410=59%,F410*G410*H410*F!$B$59,IF(I410=60%,F410*G410*H410*F!$B$60,IF(I410=61%,F410*G410*H410*F!$B$61,IF(I410=62%,F410*G410*H410*F!$B$62,IF(I410=63%,F410*G410*H410*F!$B$63,IF(I410=64%,F410*G410*H410*F!$B$64,IF(I410=65%,F410*G410*H410*F!$B$65,IF(I410=66%,F410*G410*H410*F!$B$66,IF(I410=67%,F410*G410*H410*F!$B$67,IF(I410=68%,F410*G410*H410*F!$B$68,IF(I410=69%,F410*G410*H410*F!$B$69,IF(I410=70%,F410*G410*H410*F!$B$70,IF(I410=71%,F410*G410*H410*F!$B$71,IF(I410=72%,F410*G410*H410*F!$B$72,IF(I410=73%,F410*G410*H410*F!$B$73,IF(I410=74%,F410*G410*H410*F!$B$74,IF(I410=75%,F410*G410*H410*F!$B$75,IF(I410=76%,F410*G410*H410*F!$B$76,IF(I410=77%,F410*G410*H410*F!$B$77,IF(I410=78%,F410*G410*H410*F!$B$78,IF(I410=79%,F410*G410*H410*F!$B$79,IF(I410=80%,F410*G410*H410*F!$B$80,IF(I410=81%,F410*G410*H410*F!$B$81,IF(I410=82%,F410*G410*H410*F!$B$82,IF(I410=83%,F410*G410*H410*F!$B$83,IF(I410=84%,F410*G410*H410*F!$B$84,IF(I410=85%,F410*G410*H410*F!$B$85,IF(I410=86%,F410*G410*H410*F!$B$86,IF(I410=87%,F410*G410*H410*F!$B$87,IF(I410=88%,F410*G410*H410*F!$B$88,IF(I410=89%,F410*G410*H410*F!$B$89,IF(I410=90%,F410*G410*H410*F!$B$90,IF(I410=91%,F410*G410*H410*F!$B$91,IF(I410=92%,F410*G410*H410*F!$B$92,IF(I410=93%,F410*G410*H410*F!$B$93,IF(I410=94%,F410*G410*H410*F!$B$94,IF(I410=95%,F410*G410*H410*F!$B$95,IF(I410=96%,F410*G410*H410*F!$B$96,IF(I410=97%,F410*G410*H410*F!$B$97,IF(I410=98%,F410*G410*H410*F!$B$98,IF(I410=99%,F410*G410*H410*F!$B$99,IF(I410&gt;99%,F410*G410*H410*F!$B$100,))))))))))))))))))))))))))))))))))))))))))))))))))))))))+IF(M410&lt;30%,0,IF(M410&lt;35%,J410*K410*L410*F!$B$33,IF(M410&lt;40%,J410*K410*L410*F!$B$38,IF(M410&lt;45%,J410*K410*L410*F!$B$43,IF(M410&lt;50%,J410*K410*L410*F!$B$48,IF(M410=50%,J410*K410*L410*F!$B$50,IF(M410=51%,J410*K410*L410*F!$B$51,IF(M410=52%,J410*K410*L410*F!$B$52,IF(M410=53%,J410*K410*L410*F!$B$53,IF(M410=54%,J410*K410*L410*F!$B$54,IF(M410=55%,J410*K410*L410*F!$B$55,IF(M410=56%,J410*K410*L410*F!$B$56,IF(M410=57%,J410*K410*L410*F!$B$57,IF(M410=58%,J410*K410*L410*F!$B$58,IF(M410=59%,J410*K410*L410*F!$B$59,IF(M410=60%,J410*K410*L410*F!$B$60,IF(M410=61%,J410*K410*L410*F!$B$61,IF(M410=62%,J410*K410*L410*F!$B$62,IF(M410=63%,J410*K410*L410*F!$B$63,IF(M410=64%,J410*K410*L410*F!$B$64,IF(M410=65%,J410*K410*L410*F!$B$65,IF(M410=66%,J410*K410*L410*F!$B$66,IF(M410=67%,J410*K410*L410*F!$B$67,IF(M410=68%,J410*K410*L410*F!$B$68,IF(M410=69%,J410*K410*L410*F!$B$69,IF(M410=70%,J410*K410*L410*F!$B$70,IF(M410=71%,J410*K410*L410*F!$B$71,IF(M410=72%,J410*K410*L410*F!$B$72,IF(M410=73%,J410*K410*L410*F!$B$73,IF(M410=74%,J410*K410*L410*F!$B$74,IF(M410=75%,J410*K410*L410*F!$B$75,IF(M410=76%,J410*K410*L410*F!$B$76,IF(M410=77%,J410*K410*L410*F!$B$77,IF(M410=78%,J410*K410*L410*F!$B$78,IF(M410=79%,J410*K410*L410*F!$B$79,IF(M410=80%,J410*K410*L410*F!$B$80,IF(M410=81%,J410*K410*L410*F!$B$81,IF(M410=82%,J410*K410*L410*F!$B$82,IF(M410=83%,J410*K410*L410*F!$B$83,IF(M410=84%,J410*K410*L410*F!$B$84,IF(M410=85%,J410*K410*L410*F!$B$85,IF(M410=86%,J410*K410*L410*F!$B$86,IF(M410=87%,J410*K410*L410*F!$B$87,IF(M410=88%,J410*K410*L410*F!$B$88,IF(M410=89%,J410*K410*L410*F!$B$89,IF(M410=90%,J410*K410*L410*F!$B$90,IF(M410=91%,J410*K410*L410*F!$B$91,IF(M410=92%,J410*K410*L410*F!$B$92,IF(M410=93%,J410*K410*L410*F!$B$93,IF(M410=94%,J410*K410*L410*F!$B$94,IF(M410=95%,J410*K410*L410*F!$B$95,IF(M410=96%,J410*K410*L410*F!$B$96,IF(M410=97%,J410*K410*L410*F!$B$97,IF(M410=98%,J410*K410*L410*F!$B$98,IF(M410=99%,J410*K410*L410*F!$B$99,IF(M410&gt;99%,J410*K410*L410*F!$B$100,))))))))))))))))))))))))))))))))))))))))))))))))))))))))+IF(Q410&lt;30%,0,IF(Q410&lt;35%,N410*O410*P410*F!$B$33,IF(Q410&lt;40%,N410*O410*P410*F!$B$38,IF(Q410&lt;45%,N410*O410*P410*F!$B$43,IF(Q410&lt;50%,N410*O410*P410*F!$B$48,IF(Q410=50%,N410*O410*P410*F!$B$50,IF(Q410=51%,N410*O410*P410*F!$B$51,IF(Q410=52%,N410*O410*P410*F!$B$52,IF(Q410=53%,N410*O410*P410*F!$B$53,IF(Q410=54%,N410*O410*P410*F!$B$54,IF(Q410=55%,N410*O410*P410*F!$B$55,IF(Q410=56%,N410*O410*P410*F!$B$56,IF(Q410=57%,N410*O410*P410*F!$B$57,IF(Q410=58%,N410*O410*P410*F!$B$58,IF(Q410=59%,N410*O410*P410*F!$B$59,IF(Q410=60%,N410*O410*P410*F!$B$60,IF(Q410=61%,N410*O410*P410*F!$B$61,IF(Q410=62%,N410*O410*P410*F!$B$62,IF(Q410=63%,N410*O410*P410*F!$B$63,IF(Q410=64%,N410*O410*P410*F!$B$64,IF(Q410=65%,N410*O410*P410*F!$B$65,IF(Q410=66%,N410*O410*P410*F!$B$66,IF(Q410=67%,N410*O410*P410*F!$B$67,IF(Q410=68%,N410*O410*P410*F!$B$68,IF(Q410=69%,N410*O410*P410*F!$B$69,IF(Q410=70%,N410*O410*P410*F!$B$70,IF(Q410=71%,N410*O410*P410*F!$B$71,IF(Q410=72%,N410*O410*P410*F!$B$72,IF(Q410=73%,N410*O410*P410*F!$B$73,IF(Q410=74%,N410*O410*P410*F!$B$74,IF(Q410=75%,N410*O410*P410*F!$B$75,IF(Q410=76%,N410*O410*P410*F!$B$76,IF(Q410=77%,N410*O410*P410*F!$B$77,IF(Q410=78%,N410*O410*P410*F!$B$78,IF(Q410=79%,N410*O410*P410*F!$B$79,IF(Q410=80%,N410*O410*P410*F!$B$80,IF(Q410=81%,N410*O410*P410*F!$B$81,IF(Q410=82%,N410*O410*P410*F!$B$82,IF(Q410=83%,N410*O410*P410*F!$B$83,IF(Q410=84%,N410*O410*P410*F!$B$84,IF(Q410=85%,N410*O410*P410*F!$B$85,IF(Q410=86%,N410*O410*P410*F!$B$86,IF(Q410=87%,N410*O410*P410*F!$B$87,IF(Q410=88%,N410*O410*P410*F!$B$88,IF(Q410=89%,N410*O410*P410*F!$B$89,IF(Q410=90%,N410*O410*P410*F!$B$90,IF(Q410=91%,N410*O410*P410*F!$B$91,IF(Q410=92%,N410*O410*P410*F!$B$92,IF(Q410=93%,N410*O410*P410*F!$B$93,IF(Q410=94%,N410*O410*P410*F!$B$94,IF(Q410=95%,N410*O410*P410*F!$B$95,IF(Q410=96%,N410*O410*P410*F!$B$96,IF(Q410=97%,N410*O410*P410*F!$B$97,IF(Q410=98%,N410*O410*P410*F!$B$98,IF(Q410=99%,N410*O410*P410*F!$B$99,IF(Q410&gt;99%,N410*O410*P410*F!$B$100,))))))))))))))))))))))))))))))))))))))))))))))))))))))))+IF(U410&lt;30%,0,IF(U410&lt;35%,R410*S410*T410*F!$B$33,IF(U410&lt;40%,R410*S410*T410*F!$B$38,IF(U410&lt;45%,R410*S410*T410*F!$B$43,IF(U410&lt;50%,R410*S410*T410*F!$B$48,IF(U410=50%,R410*S410*T410*F!$B$50,IF(U410=51%,R410*S410*T410*F!$B$51,IF(U410=52%,R410*S410*T410*F!$B$52,IF(U410=53%,R410*S410*T410*F!$B$53,IF(U410=54%,R410*S410*T410*F!$B$54,IF(U410=55%,R410*S410*T410*F!$B$55,IF(U410=56%,R410*S410*T410*F!$B$56,IF(U410=57%,R410*S410*T410*F!$B$57,IF(U410=58%,R410*S410*T410*F!$B$58,IF(U410=59%,R410*S410*T410*F!$B$59,IF(U410=60%,R410*S410*T410*F!$B$60,IF(U410=61%,R410*S410*T410*F!$B$61,IF(U410=62%,R410*S410*T410*F!$B$62,IF(U410=63%,R410*S410*T410*F!$B$63,IF(U410=64%,R410*S410*T410*F!$B$64,IF(U410=65%,R410*S410*T410*F!$B$65,IF(U410=66%,R410*S410*T410*F!$B$66,IF(U410=67%,R410*S410*T410*F!$B$67,IF(U410=68%,R410*S410*T410*F!$B$68,IF(U410=69%,R410*S410*T410*F!$B$69,IF(U410=70%,R410*S410*T410*F!$B$70,IF(U410=71%,R410*S410*T410*F!$B$71,IF(U410=72%,R410*S410*T410*F!$B$72,IF(U410=73%,R410*S410*T410*F!$B$73,IF(U410=74%,R410*S410*T410*F!$B$74,IF(U410=75%,R410*S410*T410*F!$B$75,IF(U410=76%,R410*S410*T410*F!$B$76,IF(U410=77%,R410*S410*T410*F!$B$77,IF(U410=78%,R410*S410*T410*F!$B$78,IF(U410=79%,R410*S410*T410*F!$B$79,IF(U410=80%,R410*S410*T410*F!$B$80,IF(U410=81%,R410*S410*T410*F!$B$81,IF(U410=82%,R410*S410*T410*F!$B$82,IF(U410=83%,R410*S410*T410*F!$B$83,IF(U410=84%,R410*S410*T410*F!$B$84,IF(U410=85%,R410*S410*T410*F!$B$85,IF(U410=86%,R410*S410*T410*F!$B$86,IF(U410=87%,R410*S410*T410*F!$B$87,IF(U410=88%,R410*S410*T410*F!$B$88,IF(U410=89%,R410*S410*T410*F!$B$89,IF(U410=90%,R410*S410*T410*F!$B$90,IF(U410=91%,R410*S410*T410*F!$B$91,IF(U410=92%,R410*S410*T410*F!$B$92,IF(U410=93%,R410*S410*T410*F!$B$93,IF(U410=94%,R410*S410*T410*F!$B$94,IF(U410=95%,R410*S410*T410*F!$B$95,IF(U410=96%,R410*S410*T410*F!$B$96,IF(U410=97%,R410*S410*T410*F!$B$97,IF(U410=98%,R410*S410*T410*F!$B$98,IF(U410=99%,R410*S410*T410*F!$B$99,IF(U410&gt;99%,R410*S410*T410*F!$B$100)))))))))))))))))))))))))))))))))))))))))))))))))))))))))*IF(ISNUMBER(E410),E410,1)*IF(ISNUMBER(D410),D410,1)</f>
        <v>#REF!</v>
      </c>
      <c r="AA410" s="32">
        <f t="shared" ref="AA410:AA415" si="1043">G410*H410+K410*L410+O410*P410+S410*T410</f>
        <v>52</v>
      </c>
      <c r="AB410" s="38">
        <f t="shared" ref="AB410:AB415" si="1044">(H410*(IF(I410&lt;45%,0.5,IF(I410&lt;55%,0.8,IF(I410&lt;65%,0.9,IF(I410&lt;75%,1,IF(I410&lt;85%,1.1,1.2))))))+L410*(IF(M410&lt;45%,0.5,IF(M410&lt;55%,0.8,IF(M410&lt;65%,0.9,IF(M410&lt;75%,1,IF(M410&lt;85%,1.1,1.2))))))+P410*(IF(Q410&lt;45%,0.5,IF(Q410&lt;55%,0.8,IF(Q410&lt;65%,0.9,IF(Q410&lt;75%,1,IF(Q410&lt;85%,1.1,1.2))))))+T410*(IF(U410&lt;45%,0.5,IF(U410&lt;55%,0.8,IF(U410&lt;65%,0.9,IF(U410&lt;75%,1,IF(U410&lt;85%,1.1,1.2)))))))*IF(D410&gt;=0.8,6,IF(D410&lt;=0.4,1.5,3))</f>
        <v>22.2</v>
      </c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</row>
    <row r="411" ht="15.0" customHeight="1">
      <c r="A411" s="43">
        <f>A374+7</f>
        <v>42408</v>
      </c>
      <c r="B411" s="44" t="s">
        <v>20</v>
      </c>
      <c r="C411" s="149" t="str">
        <f>IF(C374="","",C374)</f>
        <v>Болгарские выпады</v>
      </c>
      <c r="D411" s="46">
        <f t="shared" si="1032"/>
        <v>0.3</v>
      </c>
      <c r="E411" s="47" t="str">
        <f t="shared" si="1033"/>
        <v/>
      </c>
      <c r="F411" s="48">
        <f t="shared" si="1034"/>
        <v>12</v>
      </c>
      <c r="G411" s="49">
        <v>12.0</v>
      </c>
      <c r="H411" s="49">
        <v>3.0</v>
      </c>
      <c r="I411" s="50">
        <v>0.35</v>
      </c>
      <c r="J411" s="48" t="str">
        <f t="shared" si="1035"/>
        <v/>
      </c>
      <c r="K411" s="49"/>
      <c r="L411" s="49"/>
      <c r="M411" s="50">
        <v>0.0</v>
      </c>
      <c r="N411" s="48" t="str">
        <f t="shared" si="1036"/>
        <v/>
      </c>
      <c r="O411" s="49"/>
      <c r="P411" s="49"/>
      <c r="Q411" s="50">
        <v>0.0</v>
      </c>
      <c r="R411" s="48" t="str">
        <f t="shared" si="1037"/>
        <v/>
      </c>
      <c r="S411" s="49"/>
      <c r="T411" s="49"/>
      <c r="U411" s="51">
        <v>0.0</v>
      </c>
      <c r="V411" s="52">
        <f t="shared" si="1038"/>
        <v>432</v>
      </c>
      <c r="W411" s="53">
        <f t="shared" si="1039"/>
        <v>12</v>
      </c>
      <c r="X411" s="54">
        <f t="shared" si="1040"/>
        <v>0.36</v>
      </c>
      <c r="Y411" s="137">
        <f t="shared" si="1041"/>
        <v>33.4700504</v>
      </c>
      <c r="Z411" s="53" t="str">
        <f t="shared" si="1042"/>
        <v>#REF!</v>
      </c>
      <c r="AA411" s="49">
        <f t="shared" si="1043"/>
        <v>36</v>
      </c>
      <c r="AB411" s="56">
        <f t="shared" si="1044"/>
        <v>2.25</v>
      </c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</row>
    <row r="412" ht="15.75" customHeight="1">
      <c r="A412" s="57"/>
      <c r="B412" s="44" t="str">
        <f t="shared" ref="B412:C412" si="1045">IF(B375="","",B375)</f>
        <v>Легкая</v>
      </c>
      <c r="C412" s="149" t="str">
        <f t="shared" si="1045"/>
        <v>Разведение ног в тренажёре</v>
      </c>
      <c r="D412" s="46">
        <f t="shared" si="1032"/>
        <v>0.3</v>
      </c>
      <c r="E412" s="47">
        <f t="shared" si="1033"/>
        <v>5</v>
      </c>
      <c r="F412" s="59">
        <f t="shared" si="1034"/>
        <v>4.4</v>
      </c>
      <c r="G412" s="60">
        <v>10.0</v>
      </c>
      <c r="H412" s="60">
        <v>6.0</v>
      </c>
      <c r="I412" s="61">
        <v>0.39</v>
      </c>
      <c r="J412" s="59" t="str">
        <f t="shared" si="1035"/>
        <v/>
      </c>
      <c r="K412" s="60"/>
      <c r="L412" s="60"/>
      <c r="M412" s="61">
        <v>0.0</v>
      </c>
      <c r="N412" s="59" t="str">
        <f t="shared" si="1036"/>
        <v/>
      </c>
      <c r="O412" s="60"/>
      <c r="P412" s="60"/>
      <c r="Q412" s="61">
        <v>0.0</v>
      </c>
      <c r="R412" s="59" t="str">
        <f t="shared" si="1037"/>
        <v/>
      </c>
      <c r="S412" s="60"/>
      <c r="T412" s="60"/>
      <c r="U412" s="62">
        <v>0.0</v>
      </c>
      <c r="V412" s="63">
        <f t="shared" si="1038"/>
        <v>1320</v>
      </c>
      <c r="W412" s="64">
        <f t="shared" si="1039"/>
        <v>22</v>
      </c>
      <c r="X412" s="65">
        <f t="shared" si="1040"/>
        <v>0.39</v>
      </c>
      <c r="Y412" s="137">
        <f t="shared" si="1041"/>
        <v>11.15668347</v>
      </c>
      <c r="Z412" s="64" t="str">
        <f t="shared" si="1042"/>
        <v>#REF!</v>
      </c>
      <c r="AA412" s="60">
        <f t="shared" si="1043"/>
        <v>60</v>
      </c>
      <c r="AB412" s="66">
        <f t="shared" si="1044"/>
        <v>4.5</v>
      </c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</row>
    <row r="413" ht="15.75" customHeight="1">
      <c r="A413" s="57"/>
      <c r="B413" s="44" t="s">
        <v>18</v>
      </c>
      <c r="C413" s="149" t="str">
        <f>IF(C376="","",C376)</f>
        <v>Присед</v>
      </c>
      <c r="D413" s="46">
        <f t="shared" si="1032"/>
        <v>1.2</v>
      </c>
      <c r="E413" s="47" t="str">
        <f t="shared" si="1033"/>
        <v/>
      </c>
      <c r="F413" s="48">
        <f t="shared" si="1034"/>
        <v>25</v>
      </c>
      <c r="G413" s="49">
        <v>12.0</v>
      </c>
      <c r="H413" s="49">
        <v>1.0</v>
      </c>
      <c r="I413" s="50">
        <v>0.45</v>
      </c>
      <c r="J413" s="67">
        <f t="shared" si="1035"/>
        <v>30</v>
      </c>
      <c r="K413" s="49">
        <v>10.0</v>
      </c>
      <c r="L413" s="49">
        <v>4.0</v>
      </c>
      <c r="M413" s="50">
        <v>0.55</v>
      </c>
      <c r="N413" s="48" t="str">
        <f t="shared" si="1036"/>
        <v/>
      </c>
      <c r="O413" s="49"/>
      <c r="P413" s="49"/>
      <c r="Q413" s="50">
        <v>0.0</v>
      </c>
      <c r="R413" s="48" t="str">
        <f t="shared" si="1037"/>
        <v/>
      </c>
      <c r="S413" s="49"/>
      <c r="T413" s="49"/>
      <c r="U413" s="51">
        <v>0.0</v>
      </c>
      <c r="V413" s="52">
        <f t="shared" si="1038"/>
        <v>1500</v>
      </c>
      <c r="W413" s="53">
        <f t="shared" si="1039"/>
        <v>28.84615385</v>
      </c>
      <c r="X413" s="54">
        <f t="shared" si="1040"/>
        <v>0.52</v>
      </c>
      <c r="Y413" s="137">
        <f t="shared" si="1041"/>
        <v>55.78341733</v>
      </c>
      <c r="Z413" s="53" t="str">
        <f t="shared" si="1042"/>
        <v>#REF!</v>
      </c>
      <c r="AA413" s="49">
        <f t="shared" si="1043"/>
        <v>52</v>
      </c>
      <c r="AB413" s="56">
        <f t="shared" si="1044"/>
        <v>26.4</v>
      </c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</row>
    <row r="414" ht="15.75" customHeight="1">
      <c r="A414" s="57"/>
      <c r="B414" s="44" t="str">
        <f t="shared" ref="B414:C414" si="1046">IF(B377="","",B377)</f>
        <v>Средняя</v>
      </c>
      <c r="C414" s="149" t="str">
        <f t="shared" si="1046"/>
        <v>Жим гантелей вверх</v>
      </c>
      <c r="D414" s="46">
        <f t="shared" si="1032"/>
        <v>1.2</v>
      </c>
      <c r="E414" s="47">
        <f t="shared" si="1033"/>
        <v>2</v>
      </c>
      <c r="F414" s="59">
        <f t="shared" si="1034"/>
        <v>4.1</v>
      </c>
      <c r="G414" s="60">
        <v>20.0</v>
      </c>
      <c r="H414" s="60">
        <v>1.0</v>
      </c>
      <c r="I414" s="61">
        <v>0.53</v>
      </c>
      <c r="J414" s="59" t="str">
        <f t="shared" si="1035"/>
        <v/>
      </c>
      <c r="K414" s="60"/>
      <c r="L414" s="60"/>
      <c r="M414" s="61">
        <v>0.0</v>
      </c>
      <c r="N414" s="59" t="str">
        <f t="shared" si="1036"/>
        <v/>
      </c>
      <c r="O414" s="60"/>
      <c r="P414" s="60"/>
      <c r="Q414" s="61">
        <v>0.0</v>
      </c>
      <c r="R414" s="59" t="str">
        <f t="shared" si="1037"/>
        <v/>
      </c>
      <c r="S414" s="60"/>
      <c r="T414" s="60"/>
      <c r="U414" s="62">
        <v>0.0</v>
      </c>
      <c r="V414" s="63">
        <f t="shared" si="1038"/>
        <v>164</v>
      </c>
      <c r="W414" s="64">
        <f t="shared" si="1039"/>
        <v>8.2</v>
      </c>
      <c r="X414" s="62">
        <f t="shared" si="1040"/>
        <v>0.52</v>
      </c>
      <c r="Y414" s="137">
        <f t="shared" si="1041"/>
        <v>7.809678427</v>
      </c>
      <c r="Z414" s="64" t="str">
        <f t="shared" si="1042"/>
        <v>#REF!</v>
      </c>
      <c r="AA414" s="60">
        <f t="shared" si="1043"/>
        <v>20</v>
      </c>
      <c r="AB414" s="66">
        <f t="shared" si="1044"/>
        <v>4.8</v>
      </c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</row>
    <row r="415" ht="15.75" customHeight="1">
      <c r="A415" s="57"/>
      <c r="B415" s="44" t="s">
        <v>20</v>
      </c>
      <c r="C415" s="149" t="str">
        <f>IF(C378="","",C378)</f>
        <v>Разведение гантелей в стороны</v>
      </c>
      <c r="D415" s="46">
        <f t="shared" si="1032"/>
        <v>0.4</v>
      </c>
      <c r="E415" s="47">
        <f t="shared" si="1033"/>
        <v>2</v>
      </c>
      <c r="F415" s="48">
        <f t="shared" si="1034"/>
        <v>2.3</v>
      </c>
      <c r="G415" s="49">
        <v>12.0</v>
      </c>
      <c r="H415" s="49">
        <v>4.0</v>
      </c>
      <c r="I415" s="50">
        <v>0.34</v>
      </c>
      <c r="J415" s="48" t="str">
        <f t="shared" si="1035"/>
        <v/>
      </c>
      <c r="K415" s="49"/>
      <c r="L415" s="49"/>
      <c r="M415" s="50">
        <v>0.0</v>
      </c>
      <c r="N415" s="48" t="str">
        <f t="shared" si="1036"/>
        <v/>
      </c>
      <c r="O415" s="49"/>
      <c r="P415" s="49"/>
      <c r="Q415" s="50">
        <v>0.0</v>
      </c>
      <c r="R415" s="48" t="str">
        <f t="shared" si="1037"/>
        <v/>
      </c>
      <c r="S415" s="49"/>
      <c r="T415" s="49"/>
      <c r="U415" s="51">
        <v>0.0</v>
      </c>
      <c r="V415" s="52">
        <f t="shared" si="1038"/>
        <v>220.8</v>
      </c>
      <c r="W415" s="53">
        <f t="shared" si="1039"/>
        <v>4.6</v>
      </c>
      <c r="X415" s="54">
        <f t="shared" si="1040"/>
        <v>0.34</v>
      </c>
      <c r="Y415" s="137">
        <f t="shared" si="1041"/>
        <v>6.69401008</v>
      </c>
      <c r="Z415" s="53" t="str">
        <f t="shared" si="1042"/>
        <v>#REF!</v>
      </c>
      <c r="AA415" s="49">
        <f t="shared" si="1043"/>
        <v>48</v>
      </c>
      <c r="AB415" s="56">
        <f t="shared" si="1044"/>
        <v>3</v>
      </c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</row>
    <row r="416" ht="15.75" customHeight="1">
      <c r="A416" s="72"/>
      <c r="B416" s="73" t="str">
        <f t="shared" ref="B416:C416" si="1047">IF(B379="","",B379)</f>
        <v/>
      </c>
      <c r="C416" s="174" t="str">
        <f t="shared" si="1047"/>
        <v>Разгибание рук на блоке</v>
      </c>
      <c r="D416" s="75">
        <f>ROUND(IFERROR((D410*(G410*H410+K410*L410+O410*P410+S410*T410)+D411*(G411*H411+K411*L411+O411*P411+S411*T411)+D412*(G412*H412+K412*L412+O412*P412+S412*T412)+D413*(G413*H413+K413*L413+O413*P413+S413*T413)+D414*(G414*H414+K414*L414+O414*P414+S414*T414)+D415*(G415*H415+K415*L415+O415*P415+S415*T415))/((G410*H410+K410*L410+O410*P410+S410*T410)+(G411*H411+K411*L411+O411*P411+S411*T411)+(G412*H412+K412*L412+O412*P412+S412*T412)+(G413*H413+K413*L413+O413*P413+S413*T413)+(G414*H414+K414*L414+O414*P414+S414*T414)+(G415*H415+K415*L415+O415*P415+S415*T415)),0),2)</f>
        <v>0.7</v>
      </c>
      <c r="E416" s="76" t="str">
        <f t="shared" si="1033"/>
        <v/>
      </c>
      <c r="F416" s="77"/>
      <c r="G416" s="78"/>
      <c r="H416" s="78"/>
      <c r="I416" s="79"/>
      <c r="J416" s="77"/>
      <c r="K416" s="78"/>
      <c r="L416" s="78"/>
      <c r="M416" s="79"/>
      <c r="N416" s="77"/>
      <c r="O416" s="78"/>
      <c r="P416" s="78"/>
      <c r="Q416" s="79"/>
      <c r="R416" s="77"/>
      <c r="S416" s="78"/>
      <c r="T416" s="78"/>
      <c r="U416" s="80"/>
      <c r="V416" s="81">
        <f>SUM(V410:V415)</f>
        <v>6016.8</v>
      </c>
      <c r="W416" s="82">
        <f>IFERROR(V416/AA416,0)</f>
        <v>22.45074627</v>
      </c>
      <c r="X416" s="83">
        <f>ROUND(IFERROR(((I410*G410*H410+M410*K410*L410+Q410*O410*P410+U410*S410*T410)+(I411*G411*H411+M411*K411*L411+Q411*O411*P411+U411*S411*T411)+(I412*G412*H412+M412*K412*L412+Q412*O412*P412+U412*S412*T412)+(I413*G413*H413+M413*K413*L413+Q413*O413*P413+U413*S413*T413)+(I414*G414*H414+M414*K414*L414+Q414*O414*P414+U414*S414*T414)+(I415*G415*H415+M415*K415*L415+Q415*O415*P415+U415*S415*T415))/((G410*H410+K410*L410+O410*P410+S410*T410)+(G411*H411+K411*L411+O411*P411+S411*T411)+(G412*H412+K412*L412+O412*P412+S412*T412)+(G413*H413+K413*L413+O413*P413+S413*T413)+(G414*H414+K414*L414+O414*P414+S414*T414)+(G415*H415+K415*L415+O415*P415+S415*T415)),0),3)</f>
        <v>0.425</v>
      </c>
      <c r="Y416" s="84"/>
      <c r="Z416" s="82" t="str">
        <f t="shared" ref="Z416:AA416" si="1048">SUM(Z410:Z415)</f>
        <v>#REF!</v>
      </c>
      <c r="AA416" s="85">
        <f t="shared" si="1048"/>
        <v>268</v>
      </c>
      <c r="AB416" s="86">
        <f>IF(SUM(AB410:AB415)=0,TIME(,0,),TIME(,SUM(AB410:AB415)+30,))</f>
        <v>0.06458333333</v>
      </c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ht="15.75" customHeight="1">
      <c r="A417" s="88" t="s">
        <v>28</v>
      </c>
      <c r="B417" s="89" t="s">
        <v>18</v>
      </c>
      <c r="C417" s="141" t="str">
        <f>IF(C380="","",C380)</f>
        <v>Румынская тяга</v>
      </c>
      <c r="D417" s="29">
        <f t="shared" ref="D417:D422" si="1050">D380</f>
        <v>1</v>
      </c>
      <c r="E417" s="91" t="str">
        <f t="shared" si="1033"/>
        <v/>
      </c>
      <c r="F417" s="92">
        <f t="shared" ref="F417:F422" si="1051">IF(I417&lt;&gt;0,(IFERROR(IF($Y417&gt;50,MROUND($Y417*I417,2.5),IF($Y417&lt;15,MROUND($Y417*I417,0.1),MROUND($Y417*I417,1))),)),"")</f>
        <v>30</v>
      </c>
      <c r="G417" s="93">
        <v>12.0</v>
      </c>
      <c r="H417" s="93">
        <v>1.0</v>
      </c>
      <c r="I417" s="94">
        <v>0.47</v>
      </c>
      <c r="J417" s="92">
        <f t="shared" ref="J417:J422" si="1052">IF(M417&lt;&gt;0,(IFERROR(IF($Y417&gt;50,MROUND($Y417*M417,2.5),IF($Y417&lt;15,MROUND($Y417*M417,0.1),MROUND($Y417*M417,1))),)),"")</f>
        <v>35</v>
      </c>
      <c r="K417" s="93">
        <v>10.0</v>
      </c>
      <c r="L417" s="93">
        <v>4.0</v>
      </c>
      <c r="M417" s="94">
        <v>0.58</v>
      </c>
      <c r="N417" s="92" t="str">
        <f t="shared" ref="N417:N422" si="1053">IF(Q417&lt;&gt;0,(IFERROR(IF($Y417&gt;50,MROUND($Y417*Q417,2.5),IF($Y417&lt;15,MROUND($Y417*Q417,0.1),MROUND($Y417*Q417,1))),)),"")</f>
        <v/>
      </c>
      <c r="O417" s="93"/>
      <c r="P417" s="93"/>
      <c r="Q417" s="94">
        <v>0.0</v>
      </c>
      <c r="R417" s="92" t="str">
        <f t="shared" ref="R417:R422" si="1054">IF(U417&lt;&gt;0,(IFERROR(IF($Y417&gt;50,MROUND($Y417*U417,2.5),IF($Y417&lt;15,MROUND($Y417*U417,0.1),MROUND($Y417*U417,1))),)),"")</f>
        <v/>
      </c>
      <c r="S417" s="93"/>
      <c r="T417" s="93"/>
      <c r="U417" s="94">
        <v>0.0</v>
      </c>
      <c r="V417" s="95">
        <f t="shared" ref="V417:V422" si="1055">(IF(ISNUMBER(F417),F417,1)*G417*H417+IF(ISNUMBER(J417),J417,1)*K417*L417+IF(ISNUMBER(N417),N417,1)*O417*P417+IF(ISNUMBER(R417),R417,1)*S417*T417)*IF(ISNUMBER(E417),E417,1)</f>
        <v>1760</v>
      </c>
      <c r="W417" s="96">
        <f t="shared" ref="W417:W422" si="1056">IFERROR((IF(ISNUMBER(F417),F417,1)*G417*H417+IF(ISNUMBER(J417),J417,1)*K417*L417+IF(ISNUMBER(N417),N417,1)*O417*P417+IF(ISNUMBER(R417),R417,1)*S417*T417)*IF(ISNUMBER(E417),E417,1)/(G417*H417+K417*L417+O417*P417+S417*T417),0)</f>
        <v>33.84615385</v>
      </c>
      <c r="X417" s="97">
        <f t="shared" ref="X417:X422" si="1057">ROUND(IFERROR((W417/(Y417*IF(ISNUMBER(E417),E417,1))),0),2)</f>
        <v>0.55</v>
      </c>
      <c r="Y417" s="37">
        <f t="shared" ref="Y417:Y422" si="1058">IF(ISNUMBER(Y380), Y380+(Y380*$Y$408),"")</f>
        <v>61.36175907</v>
      </c>
      <c r="Z417" s="96" t="str">
        <f t="shared" ref="Z417:Z422" si="1059">(IF(I417&lt;30%,0,IF(I417&lt;35%,F417*G417*H417*F!$B$33,IF(I417&lt;40%,F417*G417*H417*F!$B$38,IF(I417&lt;45%,F417*G417*H417*F!$B$43,IF(I417&lt;50%,F417*G417*H417*F!$B$48,IF(I417=50%,F417*G417*H417*F!$B$50,IF(I417=51%,F417*G417*H417*F!$B$51,IF(I417=52%,F417*G417*H417*F!$B$52,IF(I417=53%,F417*G417*H417*F!$B$53,IF(I417=54%,F417*G417*H417*F!$B$54,IF(I417=55%,F417*G417*H417*F!$B$55,IF(I417=56%,F417*G417*H417*F!$B$56,IF(I417=57%,F417*G417*H417*F!$B$57,IF(I417=58%,F417*G417*H417*F!$B$58,IF(I417=59%,F417*G417*H417*F!$B$59,IF(I417=60%,F417*G417*H417*F!$B$60,IF(I417=61%,F417*G417*H417*F!$B$61,IF(I417=62%,F417*G417*H417*F!$B$62,IF(I417=63%,F417*G417*H417*F!$B$63,IF(I417=64%,F417*G417*H417*F!$B$64,IF(I417=65%,F417*G417*H417*F!$B$65,IF(I417=66%,F417*G417*H417*F!$B$66,IF(I417=67%,F417*G417*H417*F!$B$67,IF(I417=68%,F417*G417*H417*F!$B$68,IF(I417=69%,F417*G417*H417*F!$B$69,IF(I417=70%,F417*G417*H417*F!$B$70,IF(I417=71%,F417*G417*H417*F!$B$71,IF(I417=72%,F417*G417*H417*F!$B$72,IF(I417=73%,F417*G417*H417*F!$B$73,IF(I417=74%,F417*G417*H417*F!$B$74,IF(I417=75%,F417*G417*H417*F!$B$75,IF(I417=76%,F417*G417*H417*F!$B$76,IF(I417=77%,F417*G417*H417*F!$B$77,IF(I417=78%,F417*G417*H417*F!$B$78,IF(I417=79%,F417*G417*H417*F!$B$79,IF(I417=80%,F417*G417*H417*F!$B$80,IF(I417=81%,F417*G417*H417*F!$B$81,IF(I417=82%,F417*G417*H417*F!$B$82,IF(I417=83%,F417*G417*H417*F!$B$83,IF(I417=84%,F417*G417*H417*F!$B$84,IF(I417=85%,F417*G417*H417*F!$B$85,IF(I417=86%,F417*G417*H417*F!$B$86,IF(I417=87%,F417*G417*H417*F!$B$87,IF(I417=88%,F417*G417*H417*F!$B$88,IF(I417=89%,F417*G417*H417*F!$B$89,IF(I417=90%,F417*G417*H417*F!$B$90,IF(I417=91%,F417*G417*H417*F!$B$91,IF(I417=92%,F417*G417*H417*F!$B$92,IF(I417=93%,F417*G417*H417*F!$B$93,IF(I417=94%,F417*G417*H417*F!$B$94,IF(I417=95%,F417*G417*H417*F!$B$95,IF(I417=96%,F417*G417*H417*F!$B$96,IF(I417=97%,F417*G417*H417*F!$B$97,IF(I417=98%,F417*G417*H417*F!$B$98,IF(I417=99%,F417*G417*H417*F!$B$99,IF(I417&gt;99%,F417*G417*H417*F!$B$100,))))))))))))))))))))))))))))))))))))))))))))))))))))))))+IF(M417&lt;30%,0,IF(M417&lt;35%,J417*K417*L417*F!$B$33,IF(M417&lt;40%,J417*K417*L417*F!$B$38,IF(M417&lt;45%,J417*K417*L417*F!$B$43,IF(M417&lt;50%,J417*K417*L417*F!$B$48,IF(M417=50%,J417*K417*L417*F!$B$50,IF(M417=51%,J417*K417*L417*F!$B$51,IF(M417=52%,J417*K417*L417*F!$B$52,IF(M417=53%,J417*K417*L417*F!$B$53,IF(M417=54%,J417*K417*L417*F!$B$54,IF(M417=55%,J417*K417*L417*F!$B$55,IF(M417=56%,J417*K417*L417*F!$B$56,IF(M417=57%,J417*K417*L417*F!$B$57,IF(M417=58%,J417*K417*L417*F!$B$58,IF(M417=59%,J417*K417*L417*F!$B$59,IF(M417=60%,J417*K417*L417*F!$B$60,IF(M417=61%,J417*K417*L417*F!$B$61,IF(M417=62%,J417*K417*L417*F!$B$62,IF(M417=63%,J417*K417*L417*F!$B$63,IF(M417=64%,J417*K417*L417*F!$B$64,IF(M417=65%,J417*K417*L417*F!$B$65,IF(M417=66%,J417*K417*L417*F!$B$66,IF(M417=67%,J417*K417*L417*F!$B$67,IF(M417=68%,J417*K417*L417*F!$B$68,IF(M417=69%,J417*K417*L417*F!$B$69,IF(M417=70%,J417*K417*L417*F!$B$70,IF(M417=71%,J417*K417*L417*F!$B$71,IF(M417=72%,J417*K417*L417*F!$B$72,IF(M417=73%,J417*K417*L417*F!$B$73,IF(M417=74%,J417*K417*L417*F!$B$74,IF(M417=75%,J417*K417*L417*F!$B$75,IF(M417=76%,J417*K417*L417*F!$B$76,IF(M417=77%,J417*K417*L417*F!$B$77,IF(M417=78%,J417*K417*L417*F!$B$78,IF(M417=79%,J417*K417*L417*F!$B$79,IF(M417=80%,J417*K417*L417*F!$B$80,IF(M417=81%,J417*K417*L417*F!$B$81,IF(M417=82%,J417*K417*L417*F!$B$82,IF(M417=83%,J417*K417*L417*F!$B$83,IF(M417=84%,J417*K417*L417*F!$B$84,IF(M417=85%,J417*K417*L417*F!$B$85,IF(M417=86%,J417*K417*L417*F!$B$86,IF(M417=87%,J417*K417*L417*F!$B$87,IF(M417=88%,J417*K417*L417*F!$B$88,IF(M417=89%,J417*K417*L417*F!$B$89,IF(M417=90%,J417*K417*L417*F!$B$90,IF(M417=91%,J417*K417*L417*F!$B$91,IF(M417=92%,J417*K417*L417*F!$B$92,IF(M417=93%,J417*K417*L417*F!$B$93,IF(M417=94%,J417*K417*L417*F!$B$94,IF(M417=95%,J417*K417*L417*F!$B$95,IF(M417=96%,J417*K417*L417*F!$B$96,IF(M417=97%,J417*K417*L417*F!$B$97,IF(M417=98%,J417*K417*L417*F!$B$98,IF(M417=99%,J417*K417*L417*F!$B$99,IF(M417&gt;99%,J417*K417*L417*F!$B$100,))))))))))))))))))))))))))))))))))))))))))))))))))))))))+IF(Q417&lt;30%,0,IF(Q417&lt;35%,N417*O417*P417*F!$B$33,IF(Q417&lt;40%,N417*O417*P417*F!$B$38,IF(Q417&lt;45%,N417*O417*P417*F!$B$43,IF(Q417&lt;50%,N417*O417*P417*F!$B$48,IF(Q417=50%,N417*O417*P417*F!$B$50,IF(Q417=51%,N417*O417*P417*F!$B$51,IF(Q417=52%,N417*O417*P417*F!$B$52,IF(Q417=53%,N417*O417*P417*F!$B$53,IF(Q417=54%,N417*O417*P417*F!$B$54,IF(Q417=55%,N417*O417*P417*F!$B$55,IF(Q417=56%,N417*O417*P417*F!$B$56,IF(Q417=57%,N417*O417*P417*F!$B$57,IF(Q417=58%,N417*O417*P417*F!$B$58,IF(Q417=59%,N417*O417*P417*F!$B$59,IF(Q417=60%,N417*O417*P417*F!$B$60,IF(Q417=61%,N417*O417*P417*F!$B$61,IF(Q417=62%,N417*O417*P417*F!$B$62,IF(Q417=63%,N417*O417*P417*F!$B$63,IF(Q417=64%,N417*O417*P417*F!$B$64,IF(Q417=65%,N417*O417*P417*F!$B$65,IF(Q417=66%,N417*O417*P417*F!$B$66,IF(Q417=67%,N417*O417*P417*F!$B$67,IF(Q417=68%,N417*O417*P417*F!$B$68,IF(Q417=69%,N417*O417*P417*F!$B$69,IF(Q417=70%,N417*O417*P417*F!$B$70,IF(Q417=71%,N417*O417*P417*F!$B$71,IF(Q417=72%,N417*O417*P417*F!$B$72,IF(Q417=73%,N417*O417*P417*F!$B$73,IF(Q417=74%,N417*O417*P417*F!$B$74,IF(Q417=75%,N417*O417*P417*F!$B$75,IF(Q417=76%,N417*O417*P417*F!$B$76,IF(Q417=77%,N417*O417*P417*F!$B$77,IF(Q417=78%,N417*O417*P417*F!$B$78,IF(Q417=79%,N417*O417*P417*F!$B$79,IF(Q417=80%,N417*O417*P417*F!$B$80,IF(Q417=81%,N417*O417*P417*F!$B$81,IF(Q417=82%,N417*O417*P417*F!$B$82,IF(Q417=83%,N417*O417*P417*F!$B$83,IF(Q417=84%,N417*O417*P417*F!$B$84,IF(Q417=85%,N417*O417*P417*F!$B$85,IF(Q417=86%,N417*O417*P417*F!$B$86,IF(Q417=87%,N417*O417*P417*F!$B$87,IF(Q417=88%,N417*O417*P417*F!$B$88,IF(Q417=89%,N417*O417*P417*F!$B$89,IF(Q417=90%,N417*O417*P417*F!$B$90,IF(Q417=91%,N417*O417*P417*F!$B$91,IF(Q417=92%,N417*O417*P417*F!$B$92,IF(Q417=93%,N417*O417*P417*F!$B$93,IF(Q417=94%,N417*O417*P417*F!$B$94,IF(Q417=95%,N417*O417*P417*F!$B$95,IF(Q417=96%,N417*O417*P417*F!$B$96,IF(Q417=97%,N417*O417*P417*F!$B$97,IF(Q417=98%,N417*O417*P417*F!$B$98,IF(Q417=99%,N417*O417*P417*F!$B$99,IF(Q417&gt;99%,N417*O417*P417*F!$B$100,))))))))))))))))))))))))))))))))))))))))))))))))))))))))+IF(U417&lt;30%,0,IF(U417&lt;35%,R417*S417*T417*F!$B$33,IF(U417&lt;40%,R417*S417*T417*F!$B$38,IF(U417&lt;45%,R417*S417*T417*F!$B$43,IF(U417&lt;50%,R417*S417*T417*F!$B$48,IF(U417=50%,R417*S417*T417*F!$B$50,IF(U417=51%,R417*S417*T417*F!$B$51,IF(U417=52%,R417*S417*T417*F!$B$52,IF(U417=53%,R417*S417*T417*F!$B$53,IF(U417=54%,R417*S417*T417*F!$B$54,IF(U417=55%,R417*S417*T417*F!$B$55,IF(U417=56%,R417*S417*T417*F!$B$56,IF(U417=57%,R417*S417*T417*F!$B$57,IF(U417=58%,R417*S417*T417*F!$B$58,IF(U417=59%,R417*S417*T417*F!$B$59,IF(U417=60%,R417*S417*T417*F!$B$60,IF(U417=61%,R417*S417*T417*F!$B$61,IF(U417=62%,R417*S417*T417*F!$B$62,IF(U417=63%,R417*S417*T417*F!$B$63,IF(U417=64%,R417*S417*T417*F!$B$64,IF(U417=65%,R417*S417*T417*F!$B$65,IF(U417=66%,R417*S417*T417*F!$B$66,IF(U417=67%,R417*S417*T417*F!$B$67,IF(U417=68%,R417*S417*T417*F!$B$68,IF(U417=69%,R417*S417*T417*F!$B$69,IF(U417=70%,R417*S417*T417*F!$B$70,IF(U417=71%,R417*S417*T417*F!$B$71,IF(U417=72%,R417*S417*T417*F!$B$72,IF(U417=73%,R417*S417*T417*F!$B$73,IF(U417=74%,R417*S417*T417*F!$B$74,IF(U417=75%,R417*S417*T417*F!$B$75,IF(U417=76%,R417*S417*T417*F!$B$76,IF(U417=77%,R417*S417*T417*F!$B$77,IF(U417=78%,R417*S417*T417*F!$B$78,IF(U417=79%,R417*S417*T417*F!$B$79,IF(U417=80%,R417*S417*T417*F!$B$80,IF(U417=81%,R417*S417*T417*F!$B$81,IF(U417=82%,R417*S417*T417*F!$B$82,IF(U417=83%,R417*S417*T417*F!$B$83,IF(U417=84%,R417*S417*T417*F!$B$84,IF(U417=85%,R417*S417*T417*F!$B$85,IF(U417=86%,R417*S417*T417*F!$B$86,IF(U417=87%,R417*S417*T417*F!$B$87,IF(U417=88%,R417*S417*T417*F!$B$88,IF(U417=89%,R417*S417*T417*F!$B$89,IF(U417=90%,R417*S417*T417*F!$B$90,IF(U417=91%,R417*S417*T417*F!$B$91,IF(U417=92%,R417*S417*T417*F!$B$92,IF(U417=93%,R417*S417*T417*F!$B$93,IF(U417=94%,R417*S417*T417*F!$B$94,IF(U417=95%,R417*S417*T417*F!$B$95,IF(U417=96%,R417*S417*T417*F!$B$96,IF(U417=97%,R417*S417*T417*F!$B$97,IF(U417=98%,R417*S417*T417*F!$B$98,IF(U417=99%,R417*S417*T417*F!$B$99,IF(U417&gt;99%,R417*S417*T417*F!$B$100)))))))))))))))))))))))))))))))))))))))))))))))))))))))))*IF(ISNUMBER(E417),E417,1)*IF(ISNUMBER(D417),D417,1)</f>
        <v>#REF!</v>
      </c>
      <c r="AA417" s="93">
        <f t="shared" ref="AA417:AA422" si="1060">G417*H417+K417*L417+O417*P417+S417*T417</f>
        <v>52</v>
      </c>
      <c r="AB417" s="99">
        <f t="shared" ref="AB417:AB422" si="1061">(H417*(IF(I417&lt;45%,0.5,IF(I417&lt;55%,0.8,IF(I417&lt;65%,0.9,IF(I417&lt;75%,1,IF(I417&lt;85%,1.1,1.2))))))+L417*(IF(M417&lt;45%,0.5,IF(M417&lt;55%,0.8,IF(M417&lt;65%,0.9,IF(M417&lt;75%,1,IF(M417&lt;85%,1.1,1.2))))))+P417*(IF(Q417&lt;45%,0.5,IF(Q417&lt;55%,0.8,IF(Q417&lt;65%,0.9,IF(Q417&lt;75%,1,IF(Q417&lt;85%,1.1,1.2))))))+T417*(IF(U417&lt;45%,0.5,IF(U417&lt;55%,0.8,IF(U417&lt;65%,0.9,IF(U417&lt;75%,1,IF(U417&lt;85%,1.1,1.2)))))))*IF(D417&gt;=0.8,6,IF(D417&lt;=0.4,1.5,3))</f>
        <v>26.4</v>
      </c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</row>
    <row r="418" ht="15.0" customHeight="1">
      <c r="A418" s="43">
        <f>A411+2</f>
        <v>42410</v>
      </c>
      <c r="B418" s="101" t="str">
        <f t="shared" ref="B418:C418" si="1049">IF(B381="","",B381)</f>
        <v>Средняя</v>
      </c>
      <c r="C418" s="143" t="str">
        <f t="shared" si="1049"/>
        <v>Выпады назад</v>
      </c>
      <c r="D418" s="46">
        <f t="shared" si="1050"/>
        <v>1</v>
      </c>
      <c r="E418" s="144">
        <f t="shared" si="1033"/>
        <v>2</v>
      </c>
      <c r="F418" s="59">
        <f t="shared" si="1051"/>
        <v>8</v>
      </c>
      <c r="G418" s="60">
        <v>10.0</v>
      </c>
      <c r="H418" s="60">
        <v>1.0</v>
      </c>
      <c r="I418" s="61">
        <v>0.5</v>
      </c>
      <c r="J418" s="59">
        <f t="shared" si="1052"/>
        <v>9</v>
      </c>
      <c r="K418" s="60">
        <v>10.0</v>
      </c>
      <c r="L418" s="60">
        <v>3.0</v>
      </c>
      <c r="M418" s="61">
        <v>0.59</v>
      </c>
      <c r="N418" s="59" t="str">
        <f t="shared" si="1053"/>
        <v/>
      </c>
      <c r="O418" s="60"/>
      <c r="P418" s="60"/>
      <c r="Q418" s="61">
        <v>0.0</v>
      </c>
      <c r="R418" s="59" t="str">
        <f t="shared" si="1054"/>
        <v/>
      </c>
      <c r="S418" s="60"/>
      <c r="T418" s="60"/>
      <c r="U418" s="61">
        <v>0.0</v>
      </c>
      <c r="V418" s="104">
        <f t="shared" si="1055"/>
        <v>700</v>
      </c>
      <c r="W418" s="64">
        <f t="shared" si="1056"/>
        <v>17.5</v>
      </c>
      <c r="X418" s="65">
        <f t="shared" si="1057"/>
        <v>0.56</v>
      </c>
      <c r="Y418" s="137">
        <f t="shared" si="1058"/>
        <v>15.61935685</v>
      </c>
      <c r="Z418" s="64" t="str">
        <f t="shared" si="1059"/>
        <v>#REF!</v>
      </c>
      <c r="AA418" s="60">
        <f t="shared" si="1060"/>
        <v>40</v>
      </c>
      <c r="AB418" s="66">
        <f t="shared" si="1061"/>
        <v>21</v>
      </c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</row>
    <row r="419" ht="15.75" customHeight="1">
      <c r="A419" s="57"/>
      <c r="B419" s="101" t="str">
        <f t="shared" ref="B419:C419" si="1062">IF(B382="","",B382)</f>
        <v>Легкая</v>
      </c>
      <c r="C419" s="143" t="str">
        <f t="shared" si="1062"/>
        <v>Отведение ноги назад</v>
      </c>
      <c r="D419" s="46">
        <f t="shared" si="1050"/>
        <v>0.3</v>
      </c>
      <c r="E419" s="144">
        <f t="shared" si="1033"/>
        <v>4</v>
      </c>
      <c r="F419" s="105">
        <f t="shared" si="1051"/>
        <v>2.2</v>
      </c>
      <c r="G419" s="106">
        <v>10.0</v>
      </c>
      <c r="H419" s="106">
        <v>6.0</v>
      </c>
      <c r="I419" s="107">
        <v>0.39</v>
      </c>
      <c r="J419" s="105" t="str">
        <f t="shared" si="1052"/>
        <v/>
      </c>
      <c r="K419" s="106"/>
      <c r="L419" s="106"/>
      <c r="M419" s="107">
        <v>0.0</v>
      </c>
      <c r="N419" s="105" t="str">
        <f t="shared" si="1053"/>
        <v/>
      </c>
      <c r="O419" s="106"/>
      <c r="P419" s="106"/>
      <c r="Q419" s="107">
        <v>0.0</v>
      </c>
      <c r="R419" s="105" t="str">
        <f t="shared" si="1054"/>
        <v/>
      </c>
      <c r="S419" s="106"/>
      <c r="T419" s="106"/>
      <c r="U419" s="107">
        <v>0.0</v>
      </c>
      <c r="V419" s="108">
        <f t="shared" si="1055"/>
        <v>528</v>
      </c>
      <c r="W419" s="109">
        <f t="shared" si="1056"/>
        <v>8.8</v>
      </c>
      <c r="X419" s="110">
        <f t="shared" si="1057"/>
        <v>0.39</v>
      </c>
      <c r="Y419" s="137">
        <f t="shared" si="1058"/>
        <v>5.578341733</v>
      </c>
      <c r="Z419" s="109" t="str">
        <f t="shared" si="1059"/>
        <v>#REF!</v>
      </c>
      <c r="AA419" s="106">
        <f t="shared" si="1060"/>
        <v>60</v>
      </c>
      <c r="AB419" s="111">
        <f t="shared" si="1061"/>
        <v>4.5</v>
      </c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</row>
    <row r="420" ht="15.75" customHeight="1">
      <c r="A420" s="57"/>
      <c r="B420" s="101" t="str">
        <f t="shared" ref="B420:C420" si="1063">IF(B383="","",B383)</f>
        <v>Средняя</v>
      </c>
      <c r="C420" s="143" t="str">
        <f t="shared" si="1063"/>
        <v>Тяга верхнего блока</v>
      </c>
      <c r="D420" s="46">
        <f t="shared" si="1050"/>
        <v>0.3</v>
      </c>
      <c r="E420" s="144">
        <f t="shared" si="1033"/>
        <v>4</v>
      </c>
      <c r="F420" s="59">
        <f t="shared" si="1051"/>
        <v>4.5</v>
      </c>
      <c r="G420" s="60">
        <v>12.0</v>
      </c>
      <c r="H420" s="60">
        <v>1.0</v>
      </c>
      <c r="I420" s="61">
        <v>0.5</v>
      </c>
      <c r="J420" s="59">
        <f t="shared" si="1052"/>
        <v>5.2</v>
      </c>
      <c r="K420" s="60">
        <v>10.0</v>
      </c>
      <c r="L420" s="60">
        <v>2.0</v>
      </c>
      <c r="M420" s="61">
        <v>0.58</v>
      </c>
      <c r="N420" s="59" t="str">
        <f t="shared" si="1053"/>
        <v/>
      </c>
      <c r="O420" s="60"/>
      <c r="P420" s="60"/>
      <c r="Q420" s="61">
        <v>0.0</v>
      </c>
      <c r="R420" s="59" t="str">
        <f t="shared" si="1054"/>
        <v/>
      </c>
      <c r="S420" s="60"/>
      <c r="T420" s="60"/>
      <c r="U420" s="61">
        <v>0.0</v>
      </c>
      <c r="V420" s="104">
        <f t="shared" si="1055"/>
        <v>632</v>
      </c>
      <c r="W420" s="64">
        <f t="shared" si="1056"/>
        <v>19.75</v>
      </c>
      <c r="X420" s="65">
        <f t="shared" si="1057"/>
        <v>0.55</v>
      </c>
      <c r="Y420" s="137">
        <f t="shared" si="1058"/>
        <v>8.925346773</v>
      </c>
      <c r="Z420" s="64" t="str">
        <f t="shared" si="1059"/>
        <v>#REF!</v>
      </c>
      <c r="AA420" s="60">
        <f t="shared" si="1060"/>
        <v>32</v>
      </c>
      <c r="AB420" s="66">
        <f t="shared" si="1061"/>
        <v>3.9</v>
      </c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</row>
    <row r="421" ht="15.75" customHeight="1">
      <c r="A421" s="57"/>
      <c r="B421" s="101" t="str">
        <f t="shared" ref="B421:C421" si="1064">IF(B384="","",B384)</f>
        <v>Средняя</v>
      </c>
      <c r="C421" s="143" t="str">
        <f t="shared" si="1064"/>
        <v>Тяга горизонтального блока</v>
      </c>
      <c r="D421" s="46">
        <f t="shared" si="1050"/>
        <v>0.3</v>
      </c>
      <c r="E421" s="144">
        <f t="shared" si="1033"/>
        <v>4</v>
      </c>
      <c r="F421" s="105">
        <f t="shared" si="1051"/>
        <v>4.7</v>
      </c>
      <c r="G421" s="106">
        <v>12.0</v>
      </c>
      <c r="H421" s="106">
        <v>3.0</v>
      </c>
      <c r="I421" s="107">
        <v>0.47</v>
      </c>
      <c r="J421" s="105" t="str">
        <f t="shared" si="1052"/>
        <v/>
      </c>
      <c r="K421" s="106"/>
      <c r="L421" s="106"/>
      <c r="M421" s="107">
        <v>0.0</v>
      </c>
      <c r="N421" s="105" t="str">
        <f t="shared" si="1053"/>
        <v/>
      </c>
      <c r="O421" s="106"/>
      <c r="P421" s="106"/>
      <c r="Q421" s="107">
        <v>0.0</v>
      </c>
      <c r="R421" s="105" t="str">
        <f t="shared" si="1054"/>
        <v/>
      </c>
      <c r="S421" s="106"/>
      <c r="T421" s="106"/>
      <c r="U421" s="107">
        <v>0.0</v>
      </c>
      <c r="V421" s="108">
        <f t="shared" si="1055"/>
        <v>676.8</v>
      </c>
      <c r="W421" s="109">
        <f t="shared" si="1056"/>
        <v>18.8</v>
      </c>
      <c r="X421" s="117">
        <f t="shared" si="1057"/>
        <v>0.47</v>
      </c>
      <c r="Y421" s="137">
        <f t="shared" si="1058"/>
        <v>10.04101512</v>
      </c>
      <c r="Z421" s="109" t="str">
        <f t="shared" si="1059"/>
        <v>#REF!</v>
      </c>
      <c r="AA421" s="106">
        <f t="shared" si="1060"/>
        <v>36</v>
      </c>
      <c r="AB421" s="111">
        <f t="shared" si="1061"/>
        <v>3.6</v>
      </c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</row>
    <row r="422" ht="15.75" customHeight="1">
      <c r="A422" s="57"/>
      <c r="B422" s="101" t="s">
        <v>20</v>
      </c>
      <c r="C422" s="143" t="str">
        <f>IF(C385="","",C385)</f>
        <v>Разведения в тренажёре на заднюю дельту</v>
      </c>
      <c r="D422" s="46">
        <f t="shared" si="1050"/>
        <v>0.3</v>
      </c>
      <c r="E422" s="144">
        <f t="shared" si="1033"/>
        <v>4</v>
      </c>
      <c r="F422" s="59">
        <f t="shared" si="1051"/>
        <v>2.2</v>
      </c>
      <c r="G422" s="60">
        <v>8.0</v>
      </c>
      <c r="H422" s="60">
        <v>3.0</v>
      </c>
      <c r="I422" s="61">
        <v>0.5</v>
      </c>
      <c r="J422" s="59" t="str">
        <f t="shared" si="1052"/>
        <v/>
      </c>
      <c r="K422" s="60"/>
      <c r="L422" s="60"/>
      <c r="M422" s="61">
        <v>0.0</v>
      </c>
      <c r="N422" s="59" t="str">
        <f t="shared" si="1053"/>
        <v/>
      </c>
      <c r="O422" s="60"/>
      <c r="P422" s="60"/>
      <c r="Q422" s="61">
        <v>0.0</v>
      </c>
      <c r="R422" s="59" t="str">
        <f t="shared" si="1054"/>
        <v/>
      </c>
      <c r="S422" s="60"/>
      <c r="T422" s="60"/>
      <c r="U422" s="61">
        <v>0.0</v>
      </c>
      <c r="V422" s="104">
        <f t="shared" si="1055"/>
        <v>211.2</v>
      </c>
      <c r="W422" s="64">
        <f t="shared" si="1056"/>
        <v>8.8</v>
      </c>
      <c r="X422" s="65">
        <f t="shared" si="1057"/>
        <v>0.49</v>
      </c>
      <c r="Y422" s="137">
        <f t="shared" si="1058"/>
        <v>4.462673387</v>
      </c>
      <c r="Z422" s="64" t="str">
        <f t="shared" si="1059"/>
        <v>#REF!</v>
      </c>
      <c r="AA422" s="60">
        <f t="shared" si="1060"/>
        <v>24</v>
      </c>
      <c r="AB422" s="66">
        <f t="shared" si="1061"/>
        <v>3.6</v>
      </c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</row>
    <row r="423" ht="15.75" customHeight="1">
      <c r="A423" s="72"/>
      <c r="B423" s="119" t="str">
        <f t="shared" ref="B423:C423" si="1065">IF(B386="","",B386)</f>
        <v/>
      </c>
      <c r="C423" s="146" t="str">
        <f t="shared" si="1065"/>
        <v>Сгибания рук с гантелями</v>
      </c>
      <c r="D423" s="75">
        <f>ROUND(IFERROR((D417*(G417*H417+K417*L417+O417*P417+S417*T417)+D418*(G418*H418+K418*L418+O418*P418+S418*T418)+D419*(G419*H419+K419*L419+O419*P419+S419*T419)+D420*(G420*H420+K420*L420+O420*P420+S420*T420)+D421*(G421*H421+K421*L421+O421*P421+S421*T421)+D422*(G422*H422+K422*L422+O422*P422+S422*T422))/((G417*H417+K417*L417+O417*P417+S417*T417)+(G418*H418+K418*L418+O418*P418+S418*T418)+(G419*H419+K419*L419+O419*P419+S419*T419)+(G420*H420+K420*L420+O420*P420+S420*T420)+(G421*H421+K421*L421+O421*P421+S421*T421)+(G422*H422+K422*L422+O422*P422+S422*T422)),0),2)</f>
        <v>0.56</v>
      </c>
      <c r="E423" s="121" t="str">
        <f t="shared" si="1033"/>
        <v/>
      </c>
      <c r="F423" s="122"/>
      <c r="G423" s="123"/>
      <c r="H423" s="123"/>
      <c r="I423" s="124"/>
      <c r="J423" s="122"/>
      <c r="K423" s="123"/>
      <c r="L423" s="123"/>
      <c r="M423" s="124"/>
      <c r="N423" s="122"/>
      <c r="O423" s="123"/>
      <c r="P423" s="123"/>
      <c r="Q423" s="124"/>
      <c r="R423" s="122"/>
      <c r="S423" s="123"/>
      <c r="T423" s="123"/>
      <c r="U423" s="124"/>
      <c r="V423" s="125">
        <f>SUM(V417:V422)</f>
        <v>4508</v>
      </c>
      <c r="W423" s="82">
        <f>IFERROR(V423/AA423,0)</f>
        <v>18.47540984</v>
      </c>
      <c r="X423" s="83">
        <f>ROUND(IFERROR(((I417*G417*H417+M417*K417*L417+Q417*O417*P417+U417*S417*T417)+(I418*G418*H418+M418*K418*L418+Q418*O418*P418+U418*S418*T418)+(I419*G419*H419+M419*K419*L419+Q419*O419*P419+U419*S419*T419)+(I420*G420*H420+M420*K420*L420+Q420*O420*P420+U420*S420*T420)+(I421*G421*H421+M421*K421*L421+Q421*O421*P421+U421*S421*T421)+(I422*G422*H422+M422*K422*L422+Q422*O422*P422+U422*S422*T422))/((G417*H417+K417*L417+O417*P417+S417*T417)+(G418*H418+K418*L418+O418*P418+S418*T418)+(G419*H419+K419*L419+O419*P419+S419*T419)+(G420*H420+K420*L420+O420*P420+S420*T420)+(G421*H421+K421*L421+O421*P421+S421*T421)+(G422*H422+K422*L422+O422*P422+S422*T422)),0),3)</f>
        <v>0.498</v>
      </c>
      <c r="Y423" s="84"/>
      <c r="Z423" s="82" t="str">
        <f t="shared" ref="Z423:AA423" si="1066">SUM(Z417:Z422)</f>
        <v>#REF!</v>
      </c>
      <c r="AA423" s="85">
        <f t="shared" si="1066"/>
        <v>244</v>
      </c>
      <c r="AB423" s="86">
        <f>IF(SUM(AB417:AB422)=0,TIME(,0,),TIME(,SUM(AB417:AB422)+30,))</f>
        <v>0.06458333333</v>
      </c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</row>
    <row r="424" ht="15.75" customHeight="1">
      <c r="A424" s="126" t="s">
        <v>36</v>
      </c>
      <c r="B424" s="127" t="str">
        <f t="shared" ref="B424:C424" si="1067">IF(B387="","",B387)</f>
        <v>Тяжелая</v>
      </c>
      <c r="C424" s="176" t="str">
        <f t="shared" si="1067"/>
        <v>Ягодичный мост</v>
      </c>
      <c r="D424" s="29">
        <f t="shared" ref="D424:D429" si="1069">D387</f>
        <v>1.3</v>
      </c>
      <c r="E424" s="129" t="str">
        <f t="shared" si="1033"/>
        <v/>
      </c>
      <c r="F424" s="31">
        <f t="shared" ref="F424:F429" si="1070">IF(I424&lt;&gt;0,(IFERROR(IF($Y424&gt;50,MROUND($Y424*I424,2.5),IF($Y424&lt;15,MROUND($Y424*I424,0.1),MROUND($Y424*I424,1))),)),"")</f>
        <v>55</v>
      </c>
      <c r="G424" s="32">
        <v>12.0</v>
      </c>
      <c r="H424" s="32">
        <v>1.0</v>
      </c>
      <c r="I424" s="33">
        <v>0.5</v>
      </c>
      <c r="J424" s="31">
        <f t="shared" ref="J424:J429" si="1071">IF(M424&lt;&gt;0,(IFERROR(IF($Y424&gt;50,MROUND($Y424*M424,2.5),IF($Y424&lt;15,MROUND($Y424*M424,0.1),MROUND($Y424*M424,1))),)),"")</f>
        <v>67.5</v>
      </c>
      <c r="K424" s="32">
        <v>10.0</v>
      </c>
      <c r="L424" s="32">
        <v>1.0</v>
      </c>
      <c r="M424" s="33">
        <v>0.6</v>
      </c>
      <c r="N424" s="31">
        <f t="shared" ref="N424:N429" si="1072">IF(Q424&lt;&gt;0,(IFERROR(IF($Y424&gt;50,MROUND($Y424*Q424,2.5),IF($Y424&lt;15,MROUND($Y424*Q424,0.1),MROUND($Y424*Q424,1))),)),"")</f>
        <v>77.5</v>
      </c>
      <c r="O424" s="32">
        <v>8.0</v>
      </c>
      <c r="P424" s="32">
        <v>3.0</v>
      </c>
      <c r="Q424" s="33">
        <v>0.7</v>
      </c>
      <c r="R424" s="31" t="str">
        <f t="shared" ref="R424:R429" si="1073">IF(U424&lt;&gt;0,(IFERROR(IF($Y424&gt;50,MROUND($Y424*U424,2.5),IF($Y424&lt;15,MROUND($Y424*U424,0.1),MROUND($Y424*U424,1))),)),"")</f>
        <v/>
      </c>
      <c r="S424" s="32"/>
      <c r="T424" s="32"/>
      <c r="U424" s="33">
        <v>0.0</v>
      </c>
      <c r="V424" s="130">
        <f t="shared" ref="V424:V429" si="1074">(IF(ISNUMBER(F424),F424,1)*G424*H424+IF(ISNUMBER(J424),J424,1)*K424*L424+IF(ISNUMBER(N424),N424,1)*O424*P424+IF(ISNUMBER(R424),R424,1)*S424*T424)*IF(ISNUMBER(E424),E424,1)</f>
        <v>3195</v>
      </c>
      <c r="W424" s="36">
        <f t="shared" ref="W424:W429" si="1075">IFERROR((IF(ISNUMBER(F424),F424,1)*G424*H424+IF(ISNUMBER(J424),J424,1)*K424*L424+IF(ISNUMBER(N424),N424,1)*O424*P424+IF(ISNUMBER(R424),R424,1)*S424*T424)*IF(ISNUMBER(E424),E424,1)/(G424*H424+K424*L424+O424*P424+S424*T424),0)</f>
        <v>69.45652174</v>
      </c>
      <c r="X424" s="34">
        <f t="shared" ref="X424:X429" si="1076">ROUND(IFERROR((W424/(Y424*IF(ISNUMBER(E424),E424,1))),0),2)</f>
        <v>0.62</v>
      </c>
      <c r="Y424" s="37">
        <f t="shared" ref="Y424:Y429" si="1077">IF(ISNUMBER(Y387), Y387+(Y387*$Y$408),"")</f>
        <v>111.5668347</v>
      </c>
      <c r="Z424" s="36" t="str">
        <f t="shared" ref="Z424:Z429" si="1078">(IF(I424&lt;30%,0,IF(I424&lt;35%,F424*G424*H424*F!$B$33,IF(I424&lt;40%,F424*G424*H424*F!$B$38,IF(I424&lt;45%,F424*G424*H424*F!$B$43,IF(I424&lt;50%,F424*G424*H424*F!$B$48,IF(I424=50%,F424*G424*H424*F!$B$50,IF(I424=51%,F424*G424*H424*F!$B$51,IF(I424=52%,F424*G424*H424*F!$B$52,IF(I424=53%,F424*G424*H424*F!$B$53,IF(I424=54%,F424*G424*H424*F!$B$54,IF(I424=55%,F424*G424*H424*F!$B$55,IF(I424=56%,F424*G424*H424*F!$B$56,IF(I424=57%,F424*G424*H424*F!$B$57,IF(I424=58%,F424*G424*H424*F!$B$58,IF(I424=59%,F424*G424*H424*F!$B$59,IF(I424=60%,F424*G424*H424*F!$B$60,IF(I424=61%,F424*G424*H424*F!$B$61,IF(I424=62%,F424*G424*H424*F!$B$62,IF(I424=63%,F424*G424*H424*F!$B$63,IF(I424=64%,F424*G424*H424*F!$B$64,IF(I424=65%,F424*G424*H424*F!$B$65,IF(I424=66%,F424*G424*H424*F!$B$66,IF(I424=67%,F424*G424*H424*F!$B$67,IF(I424=68%,F424*G424*H424*F!$B$68,IF(I424=69%,F424*G424*H424*F!$B$69,IF(I424=70%,F424*G424*H424*F!$B$70,IF(I424=71%,F424*G424*H424*F!$B$71,IF(I424=72%,F424*G424*H424*F!$B$72,IF(I424=73%,F424*G424*H424*F!$B$73,IF(I424=74%,F424*G424*H424*F!$B$74,IF(I424=75%,F424*G424*H424*F!$B$75,IF(I424=76%,F424*G424*H424*F!$B$76,IF(I424=77%,F424*G424*H424*F!$B$77,IF(I424=78%,F424*G424*H424*F!$B$78,IF(I424=79%,F424*G424*H424*F!$B$79,IF(I424=80%,F424*G424*H424*F!$B$80,IF(I424=81%,F424*G424*H424*F!$B$81,IF(I424=82%,F424*G424*H424*F!$B$82,IF(I424=83%,F424*G424*H424*F!$B$83,IF(I424=84%,F424*G424*H424*F!$B$84,IF(I424=85%,F424*G424*H424*F!$B$85,IF(I424=86%,F424*G424*H424*F!$B$86,IF(I424=87%,F424*G424*H424*F!$B$87,IF(I424=88%,F424*G424*H424*F!$B$88,IF(I424=89%,F424*G424*H424*F!$B$89,IF(I424=90%,F424*G424*H424*F!$B$90,IF(I424=91%,F424*G424*H424*F!$B$91,IF(I424=92%,F424*G424*H424*F!$B$92,IF(I424=93%,F424*G424*H424*F!$B$93,IF(I424=94%,F424*G424*H424*F!$B$94,IF(I424=95%,F424*G424*H424*F!$B$95,IF(I424=96%,F424*G424*H424*F!$B$96,IF(I424=97%,F424*G424*H424*F!$B$97,IF(I424=98%,F424*G424*H424*F!$B$98,IF(I424=99%,F424*G424*H424*F!$B$99,IF(I424&gt;99%,F424*G424*H424*F!$B$100,))))))))))))))))))))))))))))))))))))))))))))))))))))))))+IF(M424&lt;30%,0,IF(M424&lt;35%,J424*K424*L424*F!$B$33,IF(M424&lt;40%,J424*K424*L424*F!$B$38,IF(M424&lt;45%,J424*K424*L424*F!$B$43,IF(M424&lt;50%,J424*K424*L424*F!$B$48,IF(M424=50%,J424*K424*L424*F!$B$50,IF(M424=51%,J424*K424*L424*F!$B$51,IF(M424=52%,J424*K424*L424*F!$B$52,IF(M424=53%,J424*K424*L424*F!$B$53,IF(M424=54%,J424*K424*L424*F!$B$54,IF(M424=55%,J424*K424*L424*F!$B$55,IF(M424=56%,J424*K424*L424*F!$B$56,IF(M424=57%,J424*K424*L424*F!$B$57,IF(M424=58%,J424*K424*L424*F!$B$58,IF(M424=59%,J424*K424*L424*F!$B$59,IF(M424=60%,J424*K424*L424*F!$B$60,IF(M424=61%,J424*K424*L424*F!$B$61,IF(M424=62%,J424*K424*L424*F!$B$62,IF(M424=63%,J424*K424*L424*F!$B$63,IF(M424=64%,J424*K424*L424*F!$B$64,IF(M424=65%,J424*K424*L424*F!$B$65,IF(M424=66%,J424*K424*L424*F!$B$66,IF(M424=67%,J424*K424*L424*F!$B$67,IF(M424=68%,J424*K424*L424*F!$B$68,IF(M424=69%,J424*K424*L424*F!$B$69,IF(M424=70%,J424*K424*L424*F!$B$70,IF(M424=71%,J424*K424*L424*F!$B$71,IF(M424=72%,J424*K424*L424*F!$B$72,IF(M424=73%,J424*K424*L424*F!$B$73,IF(M424=74%,J424*K424*L424*F!$B$74,IF(M424=75%,J424*K424*L424*F!$B$75,IF(M424=76%,J424*K424*L424*F!$B$76,IF(M424=77%,J424*K424*L424*F!$B$77,IF(M424=78%,J424*K424*L424*F!$B$78,IF(M424=79%,J424*K424*L424*F!$B$79,IF(M424=80%,J424*K424*L424*F!$B$80,IF(M424=81%,J424*K424*L424*F!$B$81,IF(M424=82%,J424*K424*L424*F!$B$82,IF(M424=83%,J424*K424*L424*F!$B$83,IF(M424=84%,J424*K424*L424*F!$B$84,IF(M424=85%,J424*K424*L424*F!$B$85,IF(M424=86%,J424*K424*L424*F!$B$86,IF(M424=87%,J424*K424*L424*F!$B$87,IF(M424=88%,J424*K424*L424*F!$B$88,IF(M424=89%,J424*K424*L424*F!$B$89,IF(M424=90%,J424*K424*L424*F!$B$90,IF(M424=91%,J424*K424*L424*F!$B$91,IF(M424=92%,J424*K424*L424*F!$B$92,IF(M424=93%,J424*K424*L424*F!$B$93,IF(M424=94%,J424*K424*L424*F!$B$94,IF(M424=95%,J424*K424*L424*F!$B$95,IF(M424=96%,J424*K424*L424*F!$B$96,IF(M424=97%,J424*K424*L424*F!$B$97,IF(M424=98%,J424*K424*L424*F!$B$98,IF(M424=99%,J424*K424*L424*F!$B$99,IF(M424&gt;99%,J424*K424*L424*F!$B$100,))))))))))))))))))))))))))))))))))))))))))))))))))))))))+IF(Q424&lt;30%,0,IF(Q424&lt;35%,N424*O424*P424*F!$B$33,IF(Q424&lt;40%,N424*O424*P424*F!$B$38,IF(Q424&lt;45%,N424*O424*P424*F!$B$43,IF(Q424&lt;50%,N424*O424*P424*F!$B$48,IF(Q424=50%,N424*O424*P424*F!$B$50,IF(Q424=51%,N424*O424*P424*F!$B$51,IF(Q424=52%,N424*O424*P424*F!$B$52,IF(Q424=53%,N424*O424*P424*F!$B$53,IF(Q424=54%,N424*O424*P424*F!$B$54,IF(Q424=55%,N424*O424*P424*F!$B$55,IF(Q424=56%,N424*O424*P424*F!$B$56,IF(Q424=57%,N424*O424*P424*F!$B$57,IF(Q424=58%,N424*O424*P424*F!$B$58,IF(Q424=59%,N424*O424*P424*F!$B$59,IF(Q424=60%,N424*O424*P424*F!$B$60,IF(Q424=61%,N424*O424*P424*F!$B$61,IF(Q424=62%,N424*O424*P424*F!$B$62,IF(Q424=63%,N424*O424*P424*F!$B$63,IF(Q424=64%,N424*O424*P424*F!$B$64,IF(Q424=65%,N424*O424*P424*F!$B$65,IF(Q424=66%,N424*O424*P424*F!$B$66,IF(Q424=67%,N424*O424*P424*F!$B$67,IF(Q424=68%,N424*O424*P424*F!$B$68,IF(Q424=69%,N424*O424*P424*F!$B$69,IF(Q424=70%,N424*O424*P424*F!$B$70,IF(Q424=71%,N424*O424*P424*F!$B$71,IF(Q424=72%,N424*O424*P424*F!$B$72,IF(Q424=73%,N424*O424*P424*F!$B$73,IF(Q424=74%,N424*O424*P424*F!$B$74,IF(Q424=75%,N424*O424*P424*F!$B$75,IF(Q424=76%,N424*O424*P424*F!$B$76,IF(Q424=77%,N424*O424*P424*F!$B$77,IF(Q424=78%,N424*O424*P424*F!$B$78,IF(Q424=79%,N424*O424*P424*F!$B$79,IF(Q424=80%,N424*O424*P424*F!$B$80,IF(Q424=81%,N424*O424*P424*F!$B$81,IF(Q424=82%,N424*O424*P424*F!$B$82,IF(Q424=83%,N424*O424*P424*F!$B$83,IF(Q424=84%,N424*O424*P424*F!$B$84,IF(Q424=85%,N424*O424*P424*F!$B$85,IF(Q424=86%,N424*O424*P424*F!$B$86,IF(Q424=87%,N424*O424*P424*F!$B$87,IF(Q424=88%,N424*O424*P424*F!$B$88,IF(Q424=89%,N424*O424*P424*F!$B$89,IF(Q424=90%,N424*O424*P424*F!$B$90,IF(Q424=91%,N424*O424*P424*F!$B$91,IF(Q424=92%,N424*O424*P424*F!$B$92,IF(Q424=93%,N424*O424*P424*F!$B$93,IF(Q424=94%,N424*O424*P424*F!$B$94,IF(Q424=95%,N424*O424*P424*F!$B$95,IF(Q424=96%,N424*O424*P424*F!$B$96,IF(Q424=97%,N424*O424*P424*F!$B$97,IF(Q424=98%,N424*O424*P424*F!$B$98,IF(Q424=99%,N424*O424*P424*F!$B$99,IF(Q424&gt;99%,N424*O424*P424*F!$B$100,))))))))))))))))))))))))))))))))))))))))))))))))))))))))+IF(U424&lt;30%,0,IF(U424&lt;35%,R424*S424*T424*F!$B$33,IF(U424&lt;40%,R424*S424*T424*F!$B$38,IF(U424&lt;45%,R424*S424*T424*F!$B$43,IF(U424&lt;50%,R424*S424*T424*F!$B$48,IF(U424=50%,R424*S424*T424*F!$B$50,IF(U424=51%,R424*S424*T424*F!$B$51,IF(U424=52%,R424*S424*T424*F!$B$52,IF(U424=53%,R424*S424*T424*F!$B$53,IF(U424=54%,R424*S424*T424*F!$B$54,IF(U424=55%,R424*S424*T424*F!$B$55,IF(U424=56%,R424*S424*T424*F!$B$56,IF(U424=57%,R424*S424*T424*F!$B$57,IF(U424=58%,R424*S424*T424*F!$B$58,IF(U424=59%,R424*S424*T424*F!$B$59,IF(U424=60%,R424*S424*T424*F!$B$60,IF(U424=61%,R424*S424*T424*F!$B$61,IF(U424=62%,R424*S424*T424*F!$B$62,IF(U424=63%,R424*S424*T424*F!$B$63,IF(U424=64%,R424*S424*T424*F!$B$64,IF(U424=65%,R424*S424*T424*F!$B$65,IF(U424=66%,R424*S424*T424*F!$B$66,IF(U424=67%,R424*S424*T424*F!$B$67,IF(U424=68%,R424*S424*T424*F!$B$68,IF(U424=69%,R424*S424*T424*F!$B$69,IF(U424=70%,R424*S424*T424*F!$B$70,IF(U424=71%,R424*S424*T424*F!$B$71,IF(U424=72%,R424*S424*T424*F!$B$72,IF(U424=73%,R424*S424*T424*F!$B$73,IF(U424=74%,R424*S424*T424*F!$B$74,IF(U424=75%,R424*S424*T424*F!$B$75,IF(U424=76%,R424*S424*T424*F!$B$76,IF(U424=77%,R424*S424*T424*F!$B$77,IF(U424=78%,R424*S424*T424*F!$B$78,IF(U424=79%,R424*S424*T424*F!$B$79,IF(U424=80%,R424*S424*T424*F!$B$80,IF(U424=81%,R424*S424*T424*F!$B$81,IF(U424=82%,R424*S424*T424*F!$B$82,IF(U424=83%,R424*S424*T424*F!$B$83,IF(U424=84%,R424*S424*T424*F!$B$84,IF(U424=85%,R424*S424*T424*F!$B$85,IF(U424=86%,R424*S424*T424*F!$B$86,IF(U424=87%,R424*S424*T424*F!$B$87,IF(U424=88%,R424*S424*T424*F!$B$88,IF(U424=89%,R424*S424*T424*F!$B$89,IF(U424=90%,R424*S424*T424*F!$B$90,IF(U424=91%,R424*S424*T424*F!$B$91,IF(U424=92%,R424*S424*T424*F!$B$92,IF(U424=93%,R424*S424*T424*F!$B$93,IF(U424=94%,R424*S424*T424*F!$B$94,IF(U424=95%,R424*S424*T424*F!$B$95,IF(U424=96%,R424*S424*T424*F!$B$96,IF(U424=97%,R424*S424*T424*F!$B$97,IF(U424=98%,R424*S424*T424*F!$B$98,IF(U424=99%,R424*S424*T424*F!$B$99,IF(U424&gt;99%,R424*S424*T424*F!$B$100)))))))))))))))))))))))))))))))))))))))))))))))))))))))))*IF(ISNUMBER(E424),E424,1)*IF(ISNUMBER(D424),D424,1)</f>
        <v>#REF!</v>
      </c>
      <c r="AA424" s="32">
        <f t="shared" ref="AA424:AA429" si="1079">G424*H424+K424*L424+O424*P424+S424*T424</f>
        <v>46</v>
      </c>
      <c r="AB424" s="38">
        <f t="shared" ref="AB424:AB429" si="1080">(H424*(IF(I424&lt;45%,0.5,IF(I424&lt;55%,0.8,IF(I424&lt;65%,0.9,IF(I424&lt;75%,1,IF(I424&lt;85%,1.1,1.2))))))+L424*(IF(M424&lt;45%,0.5,IF(M424&lt;55%,0.8,IF(M424&lt;65%,0.9,IF(M424&lt;75%,1,IF(M424&lt;85%,1.1,1.2))))))+P424*(IF(Q424&lt;45%,0.5,IF(Q424&lt;55%,0.8,IF(Q424&lt;65%,0.9,IF(Q424&lt;75%,1,IF(Q424&lt;85%,1.1,1.2))))))+T424*(IF(U424&lt;45%,0.5,IF(U424&lt;55%,0.8,IF(U424&lt;65%,0.9,IF(U424&lt;75%,1,IF(U424&lt;85%,1.1,1.2)))))))*IF(D424&gt;=0.8,6,IF(D424&lt;=0.4,1.5,3))</f>
        <v>28.2</v>
      </c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</row>
    <row r="425" ht="15.0" customHeight="1">
      <c r="A425" s="43">
        <f>A418+2</f>
        <v>42412</v>
      </c>
      <c r="B425" s="131" t="str">
        <f t="shared" ref="B425:C425" si="1068">IF(B388="","",B388)</f>
        <v>Легкая</v>
      </c>
      <c r="C425" s="177" t="str">
        <f t="shared" si="1068"/>
        <v>Зашагивания на платформу</v>
      </c>
      <c r="D425" s="46">
        <f t="shared" si="1069"/>
        <v>1</v>
      </c>
      <c r="E425" s="133" t="str">
        <f t="shared" si="1033"/>
        <v/>
      </c>
      <c r="F425" s="48">
        <f t="shared" si="1070"/>
        <v>0</v>
      </c>
      <c r="G425" s="49">
        <v>12.0</v>
      </c>
      <c r="H425" s="49">
        <v>3.0</v>
      </c>
      <c r="I425" s="50">
        <v>0.4</v>
      </c>
      <c r="J425" s="48" t="str">
        <f t="shared" si="1071"/>
        <v/>
      </c>
      <c r="K425" s="49"/>
      <c r="L425" s="49"/>
      <c r="M425" s="50">
        <v>0.0</v>
      </c>
      <c r="N425" s="48" t="str">
        <f t="shared" si="1072"/>
        <v/>
      </c>
      <c r="O425" s="49"/>
      <c r="P425" s="49"/>
      <c r="Q425" s="50">
        <v>0.0</v>
      </c>
      <c r="R425" s="48" t="str">
        <f t="shared" si="1073"/>
        <v/>
      </c>
      <c r="S425" s="49"/>
      <c r="T425" s="49"/>
      <c r="U425" s="50">
        <v>0.0</v>
      </c>
      <c r="V425" s="134">
        <f t="shared" si="1074"/>
        <v>0</v>
      </c>
      <c r="W425" s="53">
        <f t="shared" si="1075"/>
        <v>0</v>
      </c>
      <c r="X425" s="54">
        <f t="shared" si="1076"/>
        <v>0</v>
      </c>
      <c r="Y425" s="137">
        <f t="shared" si="1077"/>
        <v>0</v>
      </c>
      <c r="Z425" s="53" t="str">
        <f t="shared" si="1078"/>
        <v>#REF!</v>
      </c>
      <c r="AA425" s="49">
        <f t="shared" si="1079"/>
        <v>36</v>
      </c>
      <c r="AB425" s="56">
        <f t="shared" si="1080"/>
        <v>9</v>
      </c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</row>
    <row r="426" ht="15.75" customHeight="1">
      <c r="A426" s="57"/>
      <c r="B426" s="135" t="str">
        <f t="shared" ref="B426:C426" si="1081">IF(B389="","",B389)</f>
        <v>Средняя</v>
      </c>
      <c r="C426" s="177" t="str">
        <f t="shared" si="1081"/>
        <v>Разведение ног</v>
      </c>
      <c r="D426" s="46">
        <f t="shared" si="1069"/>
        <v>0.5</v>
      </c>
      <c r="E426" s="133">
        <f t="shared" si="1033"/>
        <v>5</v>
      </c>
      <c r="F426" s="59">
        <f t="shared" si="1070"/>
        <v>5</v>
      </c>
      <c r="G426" s="60">
        <v>12.0</v>
      </c>
      <c r="H426" s="60">
        <v>1.0</v>
      </c>
      <c r="I426" s="61">
        <v>0.45</v>
      </c>
      <c r="J426" s="59">
        <f t="shared" si="1071"/>
        <v>6.1</v>
      </c>
      <c r="K426" s="60">
        <v>10.0</v>
      </c>
      <c r="L426" s="60">
        <v>3.0</v>
      </c>
      <c r="M426" s="61">
        <v>0.55</v>
      </c>
      <c r="N426" s="59" t="str">
        <f t="shared" si="1072"/>
        <v/>
      </c>
      <c r="O426" s="60"/>
      <c r="P426" s="60"/>
      <c r="Q426" s="61">
        <v>0.0</v>
      </c>
      <c r="R426" s="59" t="str">
        <f t="shared" si="1073"/>
        <v/>
      </c>
      <c r="S426" s="60"/>
      <c r="T426" s="60"/>
      <c r="U426" s="61">
        <v>0.0</v>
      </c>
      <c r="V426" s="104">
        <f t="shared" si="1074"/>
        <v>1215</v>
      </c>
      <c r="W426" s="64">
        <f t="shared" si="1075"/>
        <v>28.92857143</v>
      </c>
      <c r="X426" s="65">
        <f t="shared" si="1076"/>
        <v>0.52</v>
      </c>
      <c r="Y426" s="137">
        <f t="shared" si="1077"/>
        <v>11.15668347</v>
      </c>
      <c r="Z426" s="64" t="str">
        <f t="shared" si="1078"/>
        <v>#REF!</v>
      </c>
      <c r="AA426" s="60">
        <f t="shared" si="1079"/>
        <v>42</v>
      </c>
      <c r="AB426" s="66">
        <f t="shared" si="1080"/>
        <v>10.5</v>
      </c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</row>
    <row r="427" ht="15.75" customHeight="1">
      <c r="A427" s="57"/>
      <c r="B427" s="135" t="s">
        <v>20</v>
      </c>
      <c r="C427" s="177" t="str">
        <f>IF(C390="","",C390)</f>
        <v>Жим гантелй лежа</v>
      </c>
      <c r="D427" s="46">
        <f t="shared" si="1069"/>
        <v>0.4</v>
      </c>
      <c r="E427" s="133">
        <f t="shared" si="1033"/>
        <v>2</v>
      </c>
      <c r="F427" s="48">
        <f t="shared" si="1070"/>
        <v>6.4</v>
      </c>
      <c r="G427" s="49">
        <v>10.0</v>
      </c>
      <c r="H427" s="49">
        <v>3.0</v>
      </c>
      <c r="I427" s="50">
        <v>0.48</v>
      </c>
      <c r="J427" s="48" t="str">
        <f t="shared" si="1071"/>
        <v/>
      </c>
      <c r="K427" s="49"/>
      <c r="L427" s="49"/>
      <c r="M427" s="50">
        <v>0.0</v>
      </c>
      <c r="N427" s="48" t="str">
        <f t="shared" si="1072"/>
        <v/>
      </c>
      <c r="O427" s="49"/>
      <c r="P427" s="49"/>
      <c r="Q427" s="50">
        <v>0.0</v>
      </c>
      <c r="R427" s="48" t="str">
        <f t="shared" si="1073"/>
        <v/>
      </c>
      <c r="S427" s="49"/>
      <c r="T427" s="49"/>
      <c r="U427" s="50">
        <v>0.0</v>
      </c>
      <c r="V427" s="134">
        <f t="shared" si="1074"/>
        <v>384</v>
      </c>
      <c r="W427" s="53">
        <f t="shared" si="1075"/>
        <v>12.8</v>
      </c>
      <c r="X427" s="54">
        <f t="shared" si="1076"/>
        <v>0.48</v>
      </c>
      <c r="Y427" s="137">
        <f t="shared" si="1077"/>
        <v>13.38802016</v>
      </c>
      <c r="Z427" s="53" t="str">
        <f t="shared" si="1078"/>
        <v>#REF!</v>
      </c>
      <c r="AA427" s="49">
        <f t="shared" si="1079"/>
        <v>30</v>
      </c>
      <c r="AB427" s="56">
        <f t="shared" si="1080"/>
        <v>3.6</v>
      </c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</row>
    <row r="428" ht="15.75" customHeight="1">
      <c r="A428" s="57"/>
      <c r="B428" s="135" t="str">
        <f t="shared" ref="B428:C428" si="1082">IF(B391="","",B391)</f>
        <v>Тяжелая</v>
      </c>
      <c r="C428" s="177" t="str">
        <f t="shared" si="1082"/>
        <v>Ходьба выпадами</v>
      </c>
      <c r="D428" s="46">
        <f t="shared" si="1069"/>
        <v>0.4</v>
      </c>
      <c r="E428" s="133">
        <f t="shared" si="1033"/>
        <v>2</v>
      </c>
      <c r="F428" s="59">
        <f t="shared" si="1070"/>
        <v>9</v>
      </c>
      <c r="G428" s="60">
        <v>10.0</v>
      </c>
      <c r="H428" s="60">
        <v>1.0</v>
      </c>
      <c r="I428" s="61">
        <v>0.55</v>
      </c>
      <c r="J428" s="59">
        <f t="shared" si="1071"/>
        <v>11</v>
      </c>
      <c r="K428" s="60">
        <v>8.0</v>
      </c>
      <c r="L428" s="60">
        <v>3.0</v>
      </c>
      <c r="M428" s="61">
        <v>0.63</v>
      </c>
      <c r="N428" s="59" t="str">
        <f t="shared" si="1072"/>
        <v/>
      </c>
      <c r="O428" s="60"/>
      <c r="P428" s="60"/>
      <c r="Q428" s="61">
        <v>0.0</v>
      </c>
      <c r="R428" s="59" t="str">
        <f t="shared" si="1073"/>
        <v/>
      </c>
      <c r="S428" s="60"/>
      <c r="T428" s="60"/>
      <c r="U428" s="61">
        <v>0.0</v>
      </c>
      <c r="V428" s="104">
        <f t="shared" si="1074"/>
        <v>708</v>
      </c>
      <c r="W428" s="64">
        <f t="shared" si="1075"/>
        <v>20.82352941</v>
      </c>
      <c r="X428" s="62">
        <f t="shared" si="1076"/>
        <v>0.62</v>
      </c>
      <c r="Y428" s="137">
        <f t="shared" si="1077"/>
        <v>16.7350252</v>
      </c>
      <c r="Z428" s="64" t="str">
        <f t="shared" si="1078"/>
        <v>#REF!</v>
      </c>
      <c r="AA428" s="60">
        <f t="shared" si="1079"/>
        <v>34</v>
      </c>
      <c r="AB428" s="66">
        <f t="shared" si="1080"/>
        <v>5.4</v>
      </c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</row>
    <row r="429" ht="15.75" customHeight="1">
      <c r="A429" s="57"/>
      <c r="B429" s="135" t="s">
        <v>20</v>
      </c>
      <c r="C429" s="177" t="str">
        <f>IF(C392="","",C392)</f>
        <v>Гиперэкстензия на ягодицы</v>
      </c>
      <c r="D429" s="46">
        <f t="shared" si="1069"/>
        <v>0.4</v>
      </c>
      <c r="E429" s="133" t="str">
        <f t="shared" si="1033"/>
        <v/>
      </c>
      <c r="F429" s="48">
        <f t="shared" si="1070"/>
        <v>10</v>
      </c>
      <c r="G429" s="49">
        <v>12.0</v>
      </c>
      <c r="H429" s="49">
        <v>4.0</v>
      </c>
      <c r="I429" s="50">
        <v>0.3</v>
      </c>
      <c r="J429" s="48" t="str">
        <f t="shared" si="1071"/>
        <v/>
      </c>
      <c r="K429" s="49"/>
      <c r="L429" s="49"/>
      <c r="M429" s="50">
        <v>0.0</v>
      </c>
      <c r="N429" s="48" t="str">
        <f t="shared" si="1072"/>
        <v/>
      </c>
      <c r="O429" s="49"/>
      <c r="P429" s="49"/>
      <c r="Q429" s="50">
        <v>0.0</v>
      </c>
      <c r="R429" s="48" t="str">
        <f t="shared" si="1073"/>
        <v/>
      </c>
      <c r="S429" s="49"/>
      <c r="T429" s="49"/>
      <c r="U429" s="50">
        <v>0.0</v>
      </c>
      <c r="V429" s="134">
        <f t="shared" si="1074"/>
        <v>480</v>
      </c>
      <c r="W429" s="53">
        <f t="shared" si="1075"/>
        <v>10</v>
      </c>
      <c r="X429" s="54">
        <f t="shared" si="1076"/>
        <v>0.3</v>
      </c>
      <c r="Y429" s="137">
        <f t="shared" si="1077"/>
        <v>33.4700504</v>
      </c>
      <c r="Z429" s="53" t="str">
        <f t="shared" si="1078"/>
        <v>#REF!</v>
      </c>
      <c r="AA429" s="49">
        <f t="shared" si="1079"/>
        <v>48</v>
      </c>
      <c r="AB429" s="56">
        <f t="shared" si="1080"/>
        <v>3</v>
      </c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</row>
    <row r="430" ht="15.75" customHeight="1">
      <c r="A430" s="72"/>
      <c r="B430" s="138" t="str">
        <f t="shared" ref="B430:C430" si="1083">IF(B393="","",B393)</f>
        <v/>
      </c>
      <c r="C430" s="178" t="str">
        <f t="shared" si="1083"/>
        <v>Скручивания (пресс)</v>
      </c>
      <c r="D430" s="75">
        <f>ROUND(IFERROR((D424*(G424*H424+K424*L424+O424*P424+S424*T424)+D425*(G425*H425+K425*L425+O425*P425+S425*T425)+D426*(G426*H426+K426*L426+O426*P426+S426*T426)+D427*(G427*H427+K427*L427+O427*P427+S427*T427)+D428*(G428*H428+K428*L428+O428*P428+S428*T428)+D429*(G429*H429+K429*L429+O429*P429+S429*T429))/((G424*H424+K424*L424+O424*P424+S424*T424)+(G425*H425+K425*L425+O425*P425+S425*T425)+(G426*H426+K426*L426+O426*P426+S426*T426)+(G427*H427+K427*L427+O427*P427+S427*T427)+(G428*H428+K428*L428+O428*P428+S428*T428)+(G429*H429+K429*L429+O429*P429+S429*T429)),0),2)</f>
        <v>0.68</v>
      </c>
      <c r="E430" s="140" t="str">
        <f t="shared" si="1033"/>
        <v/>
      </c>
      <c r="F430" s="77"/>
      <c r="G430" s="78"/>
      <c r="H430" s="78"/>
      <c r="I430" s="79"/>
      <c r="J430" s="77"/>
      <c r="K430" s="78"/>
      <c r="L430" s="78"/>
      <c r="M430" s="79"/>
      <c r="N430" s="77"/>
      <c r="O430" s="78"/>
      <c r="P430" s="78"/>
      <c r="Q430" s="79"/>
      <c r="R430" s="77"/>
      <c r="S430" s="78"/>
      <c r="T430" s="78"/>
      <c r="U430" s="79"/>
      <c r="V430" s="125">
        <f>SUM(V424:V429)</f>
        <v>5982</v>
      </c>
      <c r="W430" s="82">
        <f>IFERROR(V430/AA430,0)</f>
        <v>25.34745763</v>
      </c>
      <c r="X430" s="83">
        <f>ROUND(IFERROR(((I424*G424*H424+M424*K424*L424+Q424*O424*P424+U424*S424*T424)+(I425*G425*H425+M425*K425*L425+Q425*O425*P425+U425*S425*T425)+(I426*G426*H426+M426*K426*L426+Q426*O426*P426+U426*S426*T426)+(I427*G427*H427+M427*K427*L427+Q427*O427*P427+U427*S427*T427)+(I428*G428*H428+M428*K428*L428+Q428*O428*P428+U428*S428*T428)+(I429*G429*H429+M429*K429*L429+Q429*O429*P429+U429*S429*T429))/((G424*H424+K424*L424+O424*P424+S424*T424)+(G425*H425+K425*L425+O425*P425+S425*T425)+(G426*H426+K426*L426+O426*P426+S426*T426)+(G427*H427+K427*L427+O427*P427+S427*T427)+(G428*H428+K428*L428+O428*P428+S428*T428)+(G429*H429+K429*L429+O429*P429+S429*T429)),0),3)</f>
        <v>0.485</v>
      </c>
      <c r="Y430" s="84"/>
      <c r="Z430" s="82" t="str">
        <f t="shared" ref="Z430:AA430" si="1084">SUM(Z424:Z429)</f>
        <v>#REF!</v>
      </c>
      <c r="AA430" s="85">
        <f t="shared" si="1084"/>
        <v>236</v>
      </c>
      <c r="AB430" s="86">
        <f>IF(SUM(AB424:AB429)=0,TIME(,0,),TIME(,SUM(AB424:AB429)+30,))</f>
        <v>0.06180555556</v>
      </c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</row>
    <row r="431" ht="15.75" hidden="1" customHeight="1">
      <c r="A431" s="183" t="s">
        <v>44</v>
      </c>
      <c r="B431" s="184" t="str">
        <f t="shared" ref="B431:C431" si="1085">IF(B394="","",B394)</f>
        <v/>
      </c>
      <c r="C431" s="185" t="str">
        <f t="shared" si="1085"/>
        <v/>
      </c>
      <c r="D431" s="186" t="str">
        <f t="shared" ref="D431:D436" si="1087">D394</f>
        <v/>
      </c>
      <c r="E431" s="187" t="str">
        <f t="shared" si="1033"/>
        <v/>
      </c>
      <c r="F431" s="188"/>
      <c r="G431" s="189"/>
      <c r="H431" s="189"/>
      <c r="I431" s="190" t="str">
        <f t="shared" ref="I431:I436" si="1088">IFERROR(ROUND(F431/$Y431,2),)</f>
        <v/>
      </c>
      <c r="J431" s="188"/>
      <c r="K431" s="189"/>
      <c r="L431" s="189"/>
      <c r="M431" s="190" t="str">
        <f t="shared" ref="M431:M436" si="1089">IFERROR(ROUND(J431/$Y431,2),)</f>
        <v/>
      </c>
      <c r="N431" s="188"/>
      <c r="O431" s="189"/>
      <c r="P431" s="189"/>
      <c r="Q431" s="190" t="str">
        <f t="shared" ref="Q431:Q436" si="1090">IFERROR(ROUND(N431/$Y431,2),)</f>
        <v/>
      </c>
      <c r="R431" s="188"/>
      <c r="S431" s="189"/>
      <c r="T431" s="189"/>
      <c r="U431" s="190" t="str">
        <f t="shared" ref="U431:U436" si="1091">IFERROR(ROUND(R431/$Y431,2),)</f>
        <v/>
      </c>
      <c r="V431" s="191">
        <f t="shared" ref="V431:V436" si="1092">(IF(ISNUMBER(F431),F431,1)*G431*H431+IF(ISNUMBER(J431),J431,1)*K431*L431+IF(ISNUMBER(N431),N431,1)*O431*P431+IF(ISNUMBER(R431),R431,1)*S431*T431)*IF(ISNUMBER(E431),E431,1)</f>
        <v>0</v>
      </c>
      <c r="W431" s="192">
        <f t="shared" ref="W431:W436" si="1093">IFERROR((IF(ISNUMBER(F431),F431,1)*G431*H431+IF(ISNUMBER(J431),J431,1)*K431*L431+IF(ISNUMBER(N431),N431,1)*O431*P431+IF(ISNUMBER(R431),R431,1)*S431*T431)*IF(ISNUMBER(E431),E431,1)/(G431*H431+K431*L431+O431*P431+S431*T431),0)</f>
        <v>0</v>
      </c>
      <c r="X431" s="193">
        <f t="shared" ref="X431:X436" si="1094">ROUND(IFERROR((W431/(Y431*IF(ISNUMBER(E431),E431,1))),0),2)</f>
        <v>0</v>
      </c>
      <c r="Y431" s="194" t="str">
        <f t="shared" ref="Y431:Y436" si="1095">IF(ISNUMBER(Y394), Y394+(Y394*$Y$408),"")</f>
        <v/>
      </c>
      <c r="Z431" s="192">
        <f t="shared" ref="Z431:Z436" si="1096">(IF(I431&lt;30%,0,IF(I431&lt;35%,F431*G431*H431*F!$B$33,IF(I431&lt;40%,F431*G431*H431*F!$B$38,IF(I431&lt;45%,F431*G431*H431*F!$B$43,IF(I431&lt;50%,F431*G431*H431*F!$B$48,IF(I431=50%,F431*G431*H431*F!$B$50,IF(I431=51%,F431*G431*H431*F!$B$51,IF(I431=52%,F431*G431*H431*F!$B$52,IF(I431=53%,F431*G431*H431*F!$B$53,IF(I431=54%,F431*G431*H431*F!$B$54,IF(I431=55%,F431*G431*H431*F!$B$55,IF(I431=56%,F431*G431*H431*F!$B$56,IF(I431=57%,F431*G431*H431*F!$B$57,IF(I431=58%,F431*G431*H431*F!$B$58,IF(I431=59%,F431*G431*H431*F!$B$59,IF(I431=60%,F431*G431*H431*F!$B$60,IF(I431=61%,F431*G431*H431*F!$B$61,IF(I431=62%,F431*G431*H431*F!$B$62,IF(I431=63%,F431*G431*H431*F!$B$63,IF(I431=64%,F431*G431*H431*F!$B$64,IF(I431=65%,F431*G431*H431*F!$B$65,IF(I431=66%,F431*G431*H431*F!$B$66,IF(I431=67%,F431*G431*H431*F!$B$67,IF(I431=68%,F431*G431*H431*F!$B$68,IF(I431=69%,F431*G431*H431*F!$B$69,IF(I431=70%,F431*G431*H431*F!$B$70,IF(I431=71%,F431*G431*H431*F!$B$71,IF(I431=72%,F431*G431*H431*F!$B$72,IF(I431=73%,F431*G431*H431*F!$B$73,IF(I431=74%,F431*G431*H431*F!$B$74,IF(I431=75%,F431*G431*H431*F!$B$75,IF(I431=76%,F431*G431*H431*F!$B$76,IF(I431=77%,F431*G431*H431*F!$B$77,IF(I431=78%,F431*G431*H431*F!$B$78,IF(I431=79%,F431*G431*H431*F!$B$79,IF(I431=80%,F431*G431*H431*F!$B$80,IF(I431=81%,F431*G431*H431*F!$B$81,IF(I431=82%,F431*G431*H431*F!$B$82,IF(I431=83%,F431*G431*H431*F!$B$83,IF(I431=84%,F431*G431*H431*F!$B$84,IF(I431=85%,F431*G431*H431*F!$B$85,IF(I431=86%,F431*G431*H431*F!$B$86,IF(I431=87%,F431*G431*H431*F!$B$87,IF(I431=88%,F431*G431*H431*F!$B$88,IF(I431=89%,F431*G431*H431*F!$B$89,IF(I431=90%,F431*G431*H431*F!$B$90,IF(I431=91%,F431*G431*H431*F!$B$91,IF(I431=92%,F431*G431*H431*F!$B$92,IF(I431=93%,F431*G431*H431*F!$B$93,IF(I431=94%,F431*G431*H431*F!$B$94,IF(I431=95%,F431*G431*H431*F!$B$95,IF(I431=96%,F431*G431*H431*F!$B$96,IF(I431=97%,F431*G431*H431*F!$B$97,IF(I431=98%,F431*G431*H431*F!$B$98,IF(I431=99%,F431*G431*H431*F!$B$99,IF(I431&gt;99%,F431*G431*H431*F!$B$100,))))))))))))))))))))))))))))))))))))))))))))))))))))))))+IF(M431&lt;30%,0,IF(M431&lt;35%,J431*K431*L431*F!$B$33,IF(M431&lt;40%,J431*K431*L431*F!$B$38,IF(M431&lt;45%,J431*K431*L431*F!$B$43,IF(M431&lt;50%,J431*K431*L431*F!$B$48,IF(M431=50%,J431*K431*L431*F!$B$50,IF(M431=51%,J431*K431*L431*F!$B$51,IF(M431=52%,J431*K431*L431*F!$B$52,IF(M431=53%,J431*K431*L431*F!$B$53,IF(M431=54%,J431*K431*L431*F!$B$54,IF(M431=55%,J431*K431*L431*F!$B$55,IF(M431=56%,J431*K431*L431*F!$B$56,IF(M431=57%,J431*K431*L431*F!$B$57,IF(M431=58%,J431*K431*L431*F!$B$58,IF(M431=59%,J431*K431*L431*F!$B$59,IF(M431=60%,J431*K431*L431*F!$B$60,IF(M431=61%,J431*K431*L431*F!$B$61,IF(M431=62%,J431*K431*L431*F!$B$62,IF(M431=63%,J431*K431*L431*F!$B$63,IF(M431=64%,J431*K431*L431*F!$B$64,IF(M431=65%,J431*K431*L431*F!$B$65,IF(M431=66%,J431*K431*L431*F!$B$66,IF(M431=67%,J431*K431*L431*F!$B$67,IF(M431=68%,J431*K431*L431*F!$B$68,IF(M431=69%,J431*K431*L431*F!$B$69,IF(M431=70%,J431*K431*L431*F!$B$70,IF(M431=71%,J431*K431*L431*F!$B$71,IF(M431=72%,J431*K431*L431*F!$B$72,IF(M431=73%,J431*K431*L431*F!$B$73,IF(M431=74%,J431*K431*L431*F!$B$74,IF(M431=75%,J431*K431*L431*F!$B$75,IF(M431=76%,J431*K431*L431*F!$B$76,IF(M431=77%,J431*K431*L431*F!$B$77,IF(M431=78%,J431*K431*L431*F!$B$78,IF(M431=79%,J431*K431*L431*F!$B$79,IF(M431=80%,J431*K431*L431*F!$B$80,IF(M431=81%,J431*K431*L431*F!$B$81,IF(M431=82%,J431*K431*L431*F!$B$82,IF(M431=83%,J431*K431*L431*F!$B$83,IF(M431=84%,J431*K431*L431*F!$B$84,IF(M431=85%,J431*K431*L431*F!$B$85,IF(M431=86%,J431*K431*L431*F!$B$86,IF(M431=87%,J431*K431*L431*F!$B$87,IF(M431=88%,J431*K431*L431*F!$B$88,IF(M431=89%,J431*K431*L431*F!$B$89,IF(M431=90%,J431*K431*L431*F!$B$90,IF(M431=91%,J431*K431*L431*F!$B$91,IF(M431=92%,J431*K431*L431*F!$B$92,IF(M431=93%,J431*K431*L431*F!$B$93,IF(M431=94%,J431*K431*L431*F!$B$94,IF(M431=95%,J431*K431*L431*F!$B$95,IF(M431=96%,J431*K431*L431*F!$B$96,IF(M431=97%,J431*K431*L431*F!$B$97,IF(M431=98%,J431*K431*L431*F!$B$98,IF(M431=99%,J431*K431*L431*F!$B$99,IF(M431&gt;99%,J431*K431*L431*F!$B$100,))))))))))))))))))))))))))))))))))))))))))))))))))))))))+IF(Q431&lt;30%,0,IF(Q431&lt;35%,N431*O431*P431*F!$B$33,IF(Q431&lt;40%,N431*O431*P431*F!$B$38,IF(Q431&lt;45%,N431*O431*P431*F!$B$43,IF(Q431&lt;50%,N431*O431*P431*F!$B$48,IF(Q431=50%,N431*O431*P431*F!$B$50,IF(Q431=51%,N431*O431*P431*F!$B$51,IF(Q431=52%,N431*O431*P431*F!$B$52,IF(Q431=53%,N431*O431*P431*F!$B$53,IF(Q431=54%,N431*O431*P431*F!$B$54,IF(Q431=55%,N431*O431*P431*F!$B$55,IF(Q431=56%,N431*O431*P431*F!$B$56,IF(Q431=57%,N431*O431*P431*F!$B$57,IF(Q431=58%,N431*O431*P431*F!$B$58,IF(Q431=59%,N431*O431*P431*F!$B$59,IF(Q431=60%,N431*O431*P431*F!$B$60,IF(Q431=61%,N431*O431*P431*F!$B$61,IF(Q431=62%,N431*O431*P431*F!$B$62,IF(Q431=63%,N431*O431*P431*F!$B$63,IF(Q431=64%,N431*O431*P431*F!$B$64,IF(Q431=65%,N431*O431*P431*F!$B$65,IF(Q431=66%,N431*O431*P431*F!$B$66,IF(Q431=67%,N431*O431*P431*F!$B$67,IF(Q431=68%,N431*O431*P431*F!$B$68,IF(Q431=69%,N431*O431*P431*F!$B$69,IF(Q431=70%,N431*O431*P431*F!$B$70,IF(Q431=71%,N431*O431*P431*F!$B$71,IF(Q431=72%,N431*O431*P431*F!$B$72,IF(Q431=73%,N431*O431*P431*F!$B$73,IF(Q431=74%,N431*O431*P431*F!$B$74,IF(Q431=75%,N431*O431*P431*F!$B$75,IF(Q431=76%,N431*O431*P431*F!$B$76,IF(Q431=77%,N431*O431*P431*F!$B$77,IF(Q431=78%,N431*O431*P431*F!$B$78,IF(Q431=79%,N431*O431*P431*F!$B$79,IF(Q431=80%,N431*O431*P431*F!$B$80,IF(Q431=81%,N431*O431*P431*F!$B$81,IF(Q431=82%,N431*O431*P431*F!$B$82,IF(Q431=83%,N431*O431*P431*F!$B$83,IF(Q431=84%,N431*O431*P431*F!$B$84,IF(Q431=85%,N431*O431*P431*F!$B$85,IF(Q431=86%,N431*O431*P431*F!$B$86,IF(Q431=87%,N431*O431*P431*F!$B$87,IF(Q431=88%,N431*O431*P431*F!$B$88,IF(Q431=89%,N431*O431*P431*F!$B$89,IF(Q431=90%,N431*O431*P431*F!$B$90,IF(Q431=91%,N431*O431*P431*F!$B$91,IF(Q431=92%,N431*O431*P431*F!$B$92,IF(Q431=93%,N431*O431*P431*F!$B$93,IF(Q431=94%,N431*O431*P431*F!$B$94,IF(Q431=95%,N431*O431*P431*F!$B$95,IF(Q431=96%,N431*O431*P431*F!$B$96,IF(Q431=97%,N431*O431*P431*F!$B$97,IF(Q431=98%,N431*O431*P431*F!$B$98,IF(Q431=99%,N431*O431*P431*F!$B$99,IF(Q431&gt;99%,N431*O431*P431*F!$B$100,))))))))))))))))))))))))))))))))))))))))))))))))))))))))+IF(U431&lt;30%,0,IF(U431&lt;35%,R431*S431*T431*F!$B$33,IF(U431&lt;40%,R431*S431*T431*F!$B$38,IF(U431&lt;45%,R431*S431*T431*F!$B$43,IF(U431&lt;50%,R431*S431*T431*F!$B$48,IF(U431=50%,R431*S431*T431*F!$B$50,IF(U431=51%,R431*S431*T431*F!$B$51,IF(U431=52%,R431*S431*T431*F!$B$52,IF(U431=53%,R431*S431*T431*F!$B$53,IF(U431=54%,R431*S431*T431*F!$B$54,IF(U431=55%,R431*S431*T431*F!$B$55,IF(U431=56%,R431*S431*T431*F!$B$56,IF(U431=57%,R431*S431*T431*F!$B$57,IF(U431=58%,R431*S431*T431*F!$B$58,IF(U431=59%,R431*S431*T431*F!$B$59,IF(U431=60%,R431*S431*T431*F!$B$60,IF(U431=61%,R431*S431*T431*F!$B$61,IF(U431=62%,R431*S431*T431*F!$B$62,IF(U431=63%,R431*S431*T431*F!$B$63,IF(U431=64%,R431*S431*T431*F!$B$64,IF(U431=65%,R431*S431*T431*F!$B$65,IF(U431=66%,R431*S431*T431*F!$B$66,IF(U431=67%,R431*S431*T431*F!$B$67,IF(U431=68%,R431*S431*T431*F!$B$68,IF(U431=69%,R431*S431*T431*F!$B$69,IF(U431=70%,R431*S431*T431*F!$B$70,IF(U431=71%,R431*S431*T431*F!$B$71,IF(U431=72%,R431*S431*T431*F!$B$72,IF(U431=73%,R431*S431*T431*F!$B$73,IF(U431=74%,R431*S431*T431*F!$B$74,IF(U431=75%,R431*S431*T431*F!$B$75,IF(U431=76%,R431*S431*T431*F!$B$76,IF(U431=77%,R431*S431*T431*F!$B$77,IF(U431=78%,R431*S431*T431*F!$B$78,IF(U431=79%,R431*S431*T431*F!$B$79,IF(U431=80%,R431*S431*T431*F!$B$80,IF(U431=81%,R431*S431*T431*F!$B$81,IF(U431=82%,R431*S431*T431*F!$B$82,IF(U431=83%,R431*S431*T431*F!$B$83,IF(U431=84%,R431*S431*T431*F!$B$84,IF(U431=85%,R431*S431*T431*F!$B$85,IF(U431=86%,R431*S431*T431*F!$B$86,IF(U431=87%,R431*S431*T431*F!$B$87,IF(U431=88%,R431*S431*T431*F!$B$88,IF(U431=89%,R431*S431*T431*F!$B$89,IF(U431=90%,R431*S431*T431*F!$B$90,IF(U431=91%,R431*S431*T431*F!$B$91,IF(U431=92%,R431*S431*T431*F!$B$92,IF(U431=93%,R431*S431*T431*F!$B$93,IF(U431=94%,R431*S431*T431*F!$B$94,IF(U431=95%,R431*S431*T431*F!$B$95,IF(U431=96%,R431*S431*T431*F!$B$96,IF(U431=97%,R431*S431*T431*F!$B$97,IF(U431=98%,R431*S431*T431*F!$B$98,IF(U431=99%,R431*S431*T431*F!$B$99,IF(U431&gt;99%,R431*S431*T431*F!$B$100)))))))))))))))))))))))))))))))))))))))))))))))))))))))))*IF(ISNUMBER(E431),E431,1)*IF(ISNUMBER(D431),D431,1)</f>
        <v>0</v>
      </c>
      <c r="AA431" s="189">
        <f t="shared" ref="AA431:AA436" si="1097">G431*H431+K431*L431+O431*P431+S431*T431</f>
        <v>0</v>
      </c>
      <c r="AB431" s="195">
        <f t="shared" ref="AB431:AB436" si="1098">(H431*(IF(I431&lt;45%,0.5,IF(I431&lt;55%,0.8,IF(I431&lt;65%,0.9,IF(I431&lt;75%,1,IF(I431&lt;85%,1.1,1.2))))))+L431*(IF(M431&lt;45%,0.5,IF(M431&lt;55%,0.8,IF(M431&lt;65%,0.9,IF(M431&lt;75%,1,IF(M431&lt;85%,1.1,1.2))))))+P431*(IF(Q431&lt;45%,0.5,IF(Q431&lt;55%,0.8,IF(Q431&lt;65%,0.9,IF(Q431&lt;75%,1,IF(Q431&lt;85%,1.1,1.2))))))+T431*(IF(U431&lt;45%,0.5,IF(U431&lt;55%,0.8,IF(U431&lt;65%,0.9,IF(U431&lt;75%,1,IF(U431&lt;85%,1.1,1.2)))))))*IF(D431&gt;=0.8,6,IF(D431&lt;=0.4,1.5,3))</f>
        <v>0</v>
      </c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</row>
    <row r="432" ht="15.75" hidden="1" customHeight="1">
      <c r="A432" s="196">
        <f>A425+1</f>
        <v>42413</v>
      </c>
      <c r="B432" s="197" t="str">
        <f t="shared" ref="B432:C432" si="1086">IF(B395="","",B395)</f>
        <v/>
      </c>
      <c r="C432" s="198" t="str">
        <f t="shared" si="1086"/>
        <v/>
      </c>
      <c r="D432" s="199" t="str">
        <f t="shared" si="1087"/>
        <v/>
      </c>
      <c r="E432" s="200" t="str">
        <f t="shared" si="1033"/>
        <v/>
      </c>
      <c r="F432" s="201"/>
      <c r="G432" s="202"/>
      <c r="H432" s="202"/>
      <c r="I432" s="203" t="str">
        <f t="shared" si="1088"/>
        <v/>
      </c>
      <c r="J432" s="201"/>
      <c r="K432" s="202"/>
      <c r="L432" s="202"/>
      <c r="M432" s="203" t="str">
        <f t="shared" si="1089"/>
        <v/>
      </c>
      <c r="N432" s="201"/>
      <c r="O432" s="202"/>
      <c r="P432" s="202"/>
      <c r="Q432" s="203" t="str">
        <f t="shared" si="1090"/>
        <v/>
      </c>
      <c r="R432" s="201"/>
      <c r="S432" s="202"/>
      <c r="T432" s="202"/>
      <c r="U432" s="203" t="str">
        <f t="shared" si="1091"/>
        <v/>
      </c>
      <c r="V432" s="204">
        <f t="shared" si="1092"/>
        <v>0</v>
      </c>
      <c r="W432" s="205">
        <f t="shared" si="1093"/>
        <v>0</v>
      </c>
      <c r="X432" s="206">
        <f t="shared" si="1094"/>
        <v>0</v>
      </c>
      <c r="Y432" s="207" t="str">
        <f t="shared" si="1095"/>
        <v/>
      </c>
      <c r="Z432" s="205">
        <f t="shared" si="1096"/>
        <v>0</v>
      </c>
      <c r="AA432" s="202">
        <f t="shared" si="1097"/>
        <v>0</v>
      </c>
      <c r="AB432" s="208">
        <f t="shared" si="1098"/>
        <v>0</v>
      </c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</row>
    <row r="433" ht="15.75" hidden="1" customHeight="1">
      <c r="A433" s="57"/>
      <c r="B433" s="197" t="str">
        <f t="shared" ref="B433:C433" si="1099">IF(B396="","",B396)</f>
        <v/>
      </c>
      <c r="C433" s="198" t="str">
        <f t="shared" si="1099"/>
        <v/>
      </c>
      <c r="D433" s="199" t="str">
        <f t="shared" si="1087"/>
        <v/>
      </c>
      <c r="E433" s="200" t="str">
        <f t="shared" si="1033"/>
        <v/>
      </c>
      <c r="F433" s="209"/>
      <c r="G433" s="210"/>
      <c r="H433" s="210"/>
      <c r="I433" s="211" t="str">
        <f t="shared" si="1088"/>
        <v/>
      </c>
      <c r="J433" s="209"/>
      <c r="K433" s="210"/>
      <c r="L433" s="210"/>
      <c r="M433" s="211" t="str">
        <f t="shared" si="1089"/>
        <v/>
      </c>
      <c r="N433" s="209"/>
      <c r="O433" s="210"/>
      <c r="P433" s="210"/>
      <c r="Q433" s="211" t="str">
        <f t="shared" si="1090"/>
        <v/>
      </c>
      <c r="R433" s="209"/>
      <c r="S433" s="210"/>
      <c r="T433" s="210"/>
      <c r="U433" s="211" t="str">
        <f t="shared" si="1091"/>
        <v/>
      </c>
      <c r="V433" s="212">
        <f t="shared" si="1092"/>
        <v>0</v>
      </c>
      <c r="W433" s="213">
        <f t="shared" si="1093"/>
        <v>0</v>
      </c>
      <c r="X433" s="214">
        <f t="shared" si="1094"/>
        <v>0</v>
      </c>
      <c r="Y433" s="207" t="str">
        <f t="shared" si="1095"/>
        <v/>
      </c>
      <c r="Z433" s="213">
        <f t="shared" si="1096"/>
        <v>0</v>
      </c>
      <c r="AA433" s="210">
        <f t="shared" si="1097"/>
        <v>0</v>
      </c>
      <c r="AB433" s="215">
        <f t="shared" si="1098"/>
        <v>0</v>
      </c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</row>
    <row r="434" ht="15.75" hidden="1" customHeight="1">
      <c r="A434" s="57"/>
      <c r="B434" s="197" t="str">
        <f t="shared" ref="B434:C434" si="1100">IF(B397="","",B397)</f>
        <v/>
      </c>
      <c r="C434" s="198" t="str">
        <f t="shared" si="1100"/>
        <v/>
      </c>
      <c r="D434" s="199" t="str">
        <f t="shared" si="1087"/>
        <v/>
      </c>
      <c r="E434" s="200" t="str">
        <f t="shared" si="1033"/>
        <v/>
      </c>
      <c r="F434" s="201"/>
      <c r="G434" s="202"/>
      <c r="H434" s="202"/>
      <c r="I434" s="203" t="str">
        <f t="shared" si="1088"/>
        <v/>
      </c>
      <c r="J434" s="201"/>
      <c r="K434" s="202"/>
      <c r="L434" s="202"/>
      <c r="M434" s="203" t="str">
        <f t="shared" si="1089"/>
        <v/>
      </c>
      <c r="N434" s="201"/>
      <c r="O434" s="202"/>
      <c r="P434" s="202"/>
      <c r="Q434" s="203" t="str">
        <f t="shared" si="1090"/>
        <v/>
      </c>
      <c r="R434" s="201"/>
      <c r="S434" s="202"/>
      <c r="T434" s="202"/>
      <c r="U434" s="203" t="str">
        <f t="shared" si="1091"/>
        <v/>
      </c>
      <c r="V434" s="204">
        <f t="shared" si="1092"/>
        <v>0</v>
      </c>
      <c r="W434" s="205">
        <f t="shared" si="1093"/>
        <v>0</v>
      </c>
      <c r="X434" s="206">
        <f t="shared" si="1094"/>
        <v>0</v>
      </c>
      <c r="Y434" s="207" t="str">
        <f t="shared" si="1095"/>
        <v/>
      </c>
      <c r="Z434" s="205">
        <f t="shared" si="1096"/>
        <v>0</v>
      </c>
      <c r="AA434" s="202">
        <f t="shared" si="1097"/>
        <v>0</v>
      </c>
      <c r="AB434" s="208">
        <f t="shared" si="1098"/>
        <v>0</v>
      </c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</row>
    <row r="435" ht="15.75" hidden="1" customHeight="1">
      <c r="A435" s="57"/>
      <c r="B435" s="197" t="str">
        <f t="shared" ref="B435:C435" si="1101">IF(B398="","",B398)</f>
        <v/>
      </c>
      <c r="C435" s="198" t="str">
        <f t="shared" si="1101"/>
        <v/>
      </c>
      <c r="D435" s="199" t="str">
        <f t="shared" si="1087"/>
        <v/>
      </c>
      <c r="E435" s="200" t="str">
        <f t="shared" si="1033"/>
        <v/>
      </c>
      <c r="F435" s="209"/>
      <c r="G435" s="210"/>
      <c r="H435" s="210"/>
      <c r="I435" s="211" t="str">
        <f t="shared" si="1088"/>
        <v/>
      </c>
      <c r="J435" s="209"/>
      <c r="K435" s="210"/>
      <c r="L435" s="210"/>
      <c r="M435" s="211" t="str">
        <f t="shared" si="1089"/>
        <v/>
      </c>
      <c r="N435" s="209"/>
      <c r="O435" s="210"/>
      <c r="P435" s="210"/>
      <c r="Q435" s="211" t="str">
        <f t="shared" si="1090"/>
        <v/>
      </c>
      <c r="R435" s="209"/>
      <c r="S435" s="210"/>
      <c r="T435" s="210"/>
      <c r="U435" s="211" t="str">
        <f t="shared" si="1091"/>
        <v/>
      </c>
      <c r="V435" s="212">
        <f t="shared" si="1092"/>
        <v>0</v>
      </c>
      <c r="W435" s="213">
        <f t="shared" si="1093"/>
        <v>0</v>
      </c>
      <c r="X435" s="216">
        <f t="shared" si="1094"/>
        <v>0</v>
      </c>
      <c r="Y435" s="207" t="str">
        <f t="shared" si="1095"/>
        <v/>
      </c>
      <c r="Z435" s="213">
        <f t="shared" si="1096"/>
        <v>0</v>
      </c>
      <c r="AA435" s="210">
        <f t="shared" si="1097"/>
        <v>0</v>
      </c>
      <c r="AB435" s="215">
        <f t="shared" si="1098"/>
        <v>0</v>
      </c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</row>
    <row r="436" ht="15.75" hidden="1" customHeight="1">
      <c r="A436" s="57"/>
      <c r="B436" s="197" t="str">
        <f t="shared" ref="B436:C436" si="1102">IF(B399="","",B399)</f>
        <v/>
      </c>
      <c r="C436" s="198" t="str">
        <f t="shared" si="1102"/>
        <v/>
      </c>
      <c r="D436" s="199" t="str">
        <f t="shared" si="1087"/>
        <v/>
      </c>
      <c r="E436" s="200" t="str">
        <f t="shared" si="1033"/>
        <v/>
      </c>
      <c r="F436" s="201"/>
      <c r="G436" s="202"/>
      <c r="H436" s="202"/>
      <c r="I436" s="203" t="str">
        <f t="shared" si="1088"/>
        <v/>
      </c>
      <c r="J436" s="201"/>
      <c r="K436" s="202"/>
      <c r="L436" s="202"/>
      <c r="M436" s="203" t="str">
        <f t="shared" si="1089"/>
        <v/>
      </c>
      <c r="N436" s="201"/>
      <c r="O436" s="202"/>
      <c r="P436" s="202"/>
      <c r="Q436" s="203" t="str">
        <f t="shared" si="1090"/>
        <v/>
      </c>
      <c r="R436" s="201"/>
      <c r="S436" s="202"/>
      <c r="T436" s="202"/>
      <c r="U436" s="203" t="str">
        <f t="shared" si="1091"/>
        <v/>
      </c>
      <c r="V436" s="204">
        <f t="shared" si="1092"/>
        <v>0</v>
      </c>
      <c r="W436" s="205">
        <f t="shared" si="1093"/>
        <v>0</v>
      </c>
      <c r="X436" s="206">
        <f t="shared" si="1094"/>
        <v>0</v>
      </c>
      <c r="Y436" s="207" t="str">
        <f t="shared" si="1095"/>
        <v/>
      </c>
      <c r="Z436" s="205">
        <f t="shared" si="1096"/>
        <v>0</v>
      </c>
      <c r="AA436" s="202">
        <f t="shared" si="1097"/>
        <v>0</v>
      </c>
      <c r="AB436" s="208">
        <f t="shared" si="1098"/>
        <v>0</v>
      </c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</row>
    <row r="437" ht="15.75" hidden="1" customHeight="1">
      <c r="A437" s="72"/>
      <c r="B437" s="217" t="str">
        <f t="shared" ref="B437:C437" si="1103">IF(B400="","",B400)</f>
        <v/>
      </c>
      <c r="C437" s="218" t="str">
        <f t="shared" si="1103"/>
        <v/>
      </c>
      <c r="D437" s="219">
        <f>ROUND(IFERROR((D431*(G431*H431+K431*L431+O431*P431+S431*T431)+D432*(G432*H432+K432*L432+O432*P432+S432*T432)+D433*(G433*H433+K433*L433+O433*P433+S433*T433)+D434*(G434*H434+K434*L434+O434*P434+S434*T434)+D435*(G435*H435+K435*L435+O435*P435+S435*T435)+D436*(G436*H436+K436*L436+O436*P436+S436*T436))/((G431*H431+K431*L431+O431*P431+S431*T431)+(G432*H432+K432*L432+O432*P432+S432*T432)+(G433*H433+K433*L433+O433*P433+S433*T433)+(G434*H434+K434*L434+O434*P434+S434*T434)+(G435*H435+K435*L435+O435*P435+S435*T435)+(G436*H436+K436*L436+O436*P436+S436*T436)),0),2)</f>
        <v>0</v>
      </c>
      <c r="E437" s="220" t="str">
        <f t="shared" si="1033"/>
        <v/>
      </c>
      <c r="F437" s="221"/>
      <c r="G437" s="222"/>
      <c r="H437" s="222"/>
      <c r="I437" s="223"/>
      <c r="J437" s="221"/>
      <c r="K437" s="222"/>
      <c r="L437" s="222"/>
      <c r="M437" s="223"/>
      <c r="N437" s="221"/>
      <c r="O437" s="222"/>
      <c r="P437" s="222"/>
      <c r="Q437" s="223"/>
      <c r="R437" s="221"/>
      <c r="S437" s="222"/>
      <c r="T437" s="222"/>
      <c r="U437" s="223"/>
      <c r="V437" s="224">
        <f>SUM(V431:V436)</f>
        <v>0</v>
      </c>
      <c r="W437" s="225">
        <f>IFERROR(V437/AA437,0)</f>
        <v>0</v>
      </c>
      <c r="X437" s="226">
        <f>ROUND(IFERROR(((I431*G431*H431+M431*K431*L431+Q431*O431*P431+U431*S431*T431)+(I432*G432*H432+M432*K432*L432+Q432*O432*P432+U432*S432*T432)+(I433*G433*H433+M433*K433*L433+Q433*O433*P433+U433*S433*T433)+(I434*G434*H434+M434*K434*L434+Q434*O434*P434+U434*S434*T434)+(I435*G435*H435+M435*K435*L435+Q435*O435*P435+U435*S435*T435)+(I436*G436*H436+M436*K436*L436+Q436*O436*P436+U436*S436*T436))/((G431*H431+K431*L431+O431*P431+S431*T431)+(G432*H432+K432*L432+O432*P432+S432*T432)+(G433*H433+K433*L433+O433*P433+S433*T433)+(G434*H434+K434*L434+O434*P434+S434*T434)+(G435*H435+K435*L435+O435*P435+S435*T435)+(G436*H436+K436*L436+O436*P436+S436*T436)),0),3)</f>
        <v>0</v>
      </c>
      <c r="Y437" s="227"/>
      <c r="Z437" s="225">
        <f t="shared" ref="Z437:AA437" si="1104">SUM(Z431:Z436)</f>
        <v>0</v>
      </c>
      <c r="AA437" s="228">
        <f t="shared" si="1104"/>
        <v>0</v>
      </c>
      <c r="AB437" s="229">
        <f>IF(SUM(AB431:AB436)=0,TIME(,0,),TIME(,SUM(AB431:AB436)+30,))</f>
        <v>0</v>
      </c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</row>
    <row r="438" ht="15.75" hidden="1" customHeight="1">
      <c r="A438" s="230" t="s">
        <v>36</v>
      </c>
      <c r="B438" s="231" t="str">
        <f t="shared" ref="B438:C438" si="1105">IF(B401="","",B401)</f>
        <v/>
      </c>
      <c r="C438" s="232" t="str">
        <f t="shared" si="1105"/>
        <v/>
      </c>
      <c r="D438" s="186" t="str">
        <f t="shared" ref="D438:D443" si="1107">D401</f>
        <v/>
      </c>
      <c r="E438" s="233" t="str">
        <f t="shared" si="1033"/>
        <v/>
      </c>
      <c r="F438" s="234"/>
      <c r="G438" s="235"/>
      <c r="H438" s="235"/>
      <c r="I438" s="236" t="str">
        <f t="shared" ref="I438:I443" si="1108">IFERROR(ROUND(F438/$Y438,2),)</f>
        <v/>
      </c>
      <c r="J438" s="234"/>
      <c r="K438" s="235"/>
      <c r="L438" s="235"/>
      <c r="M438" s="236" t="str">
        <f t="shared" ref="M438:M443" si="1109">IFERROR(ROUND(J438/$Y438,2),)</f>
        <v/>
      </c>
      <c r="N438" s="234"/>
      <c r="O438" s="235"/>
      <c r="P438" s="235"/>
      <c r="Q438" s="236" t="str">
        <f t="shared" ref="Q438:Q443" si="1110">IFERROR(ROUND(N438/$Y438,2),)</f>
        <v/>
      </c>
      <c r="R438" s="234"/>
      <c r="S438" s="235"/>
      <c r="T438" s="235"/>
      <c r="U438" s="236" t="str">
        <f t="shared" ref="U438:U443" si="1111">IFERROR(ROUND(R438/$Y438,2),)</f>
        <v/>
      </c>
      <c r="V438" s="237">
        <f t="shared" ref="V438:V443" si="1112">(IF(ISNUMBER(F438),F438,1)*G438*H438+IF(ISNUMBER(J438),J438,1)*K438*L438+IF(ISNUMBER(N438),N438,1)*O438*P438+IF(ISNUMBER(R438),R438,1)*S438*T438)*IF(ISNUMBER(E438),E438,1)</f>
        <v>0</v>
      </c>
      <c r="W438" s="238">
        <f t="shared" ref="W438:W443" si="1113">IFERROR((IF(ISNUMBER(F438),F438,1)*G438*H438+IF(ISNUMBER(J438),J438,1)*K438*L438+IF(ISNUMBER(N438),N438,1)*O438*P438+IF(ISNUMBER(R438),R438,1)*S438*T438)*IF(ISNUMBER(E438),E438,1)/(G438*H438+K438*L438+O438*P438+S438*T438),0)</f>
        <v>0</v>
      </c>
      <c r="X438" s="239">
        <f t="shared" ref="X438:X443" si="1114">ROUND(IFERROR((W438/(Y438*IF(ISNUMBER(E438),E438,1))),0),2)</f>
        <v>0</v>
      </c>
      <c r="Y438" s="194" t="str">
        <f t="shared" ref="Y438:Y443" si="1115">IF(ISNUMBER(Y401), Y401+(Y401*$Y$408),"")</f>
        <v/>
      </c>
      <c r="Z438" s="238">
        <f t="shared" ref="Z438:Z443" si="1116">(IF(I438&lt;30%,0,IF(I438&lt;35%,F438*G438*H438*F!$B$33,IF(I438&lt;40%,F438*G438*H438*F!$B$38,IF(I438&lt;45%,F438*G438*H438*F!$B$43,IF(I438&lt;50%,F438*G438*H438*F!$B$48,IF(I438=50%,F438*G438*H438*F!$B$50,IF(I438=51%,F438*G438*H438*F!$B$51,IF(I438=52%,F438*G438*H438*F!$B$52,IF(I438=53%,F438*G438*H438*F!$B$53,IF(I438=54%,F438*G438*H438*F!$B$54,IF(I438=55%,F438*G438*H438*F!$B$55,IF(I438=56%,F438*G438*H438*F!$B$56,IF(I438=57%,F438*G438*H438*F!$B$57,IF(I438=58%,F438*G438*H438*F!$B$58,IF(I438=59%,F438*G438*H438*F!$B$59,IF(I438=60%,F438*G438*H438*F!$B$60,IF(I438=61%,F438*G438*H438*F!$B$61,IF(I438=62%,F438*G438*H438*F!$B$62,IF(I438=63%,F438*G438*H438*F!$B$63,IF(I438=64%,F438*G438*H438*F!$B$64,IF(I438=65%,F438*G438*H438*F!$B$65,IF(I438=66%,F438*G438*H438*F!$B$66,IF(I438=67%,F438*G438*H438*F!$B$67,IF(I438=68%,F438*G438*H438*F!$B$68,IF(I438=69%,F438*G438*H438*F!$B$69,IF(I438=70%,F438*G438*H438*F!$B$70,IF(I438=71%,F438*G438*H438*F!$B$71,IF(I438=72%,F438*G438*H438*F!$B$72,IF(I438=73%,F438*G438*H438*F!$B$73,IF(I438=74%,F438*G438*H438*F!$B$74,IF(I438=75%,F438*G438*H438*F!$B$75,IF(I438=76%,F438*G438*H438*F!$B$76,IF(I438=77%,F438*G438*H438*F!$B$77,IF(I438=78%,F438*G438*H438*F!$B$78,IF(I438=79%,F438*G438*H438*F!$B$79,IF(I438=80%,F438*G438*H438*F!$B$80,IF(I438=81%,F438*G438*H438*F!$B$81,IF(I438=82%,F438*G438*H438*F!$B$82,IF(I438=83%,F438*G438*H438*F!$B$83,IF(I438=84%,F438*G438*H438*F!$B$84,IF(I438=85%,F438*G438*H438*F!$B$85,IF(I438=86%,F438*G438*H438*F!$B$86,IF(I438=87%,F438*G438*H438*F!$B$87,IF(I438=88%,F438*G438*H438*F!$B$88,IF(I438=89%,F438*G438*H438*F!$B$89,IF(I438=90%,F438*G438*H438*F!$B$90,IF(I438=91%,F438*G438*H438*F!$B$91,IF(I438=92%,F438*G438*H438*F!$B$92,IF(I438=93%,F438*G438*H438*F!$B$93,IF(I438=94%,F438*G438*H438*F!$B$94,IF(I438=95%,F438*G438*H438*F!$B$95,IF(I438=96%,F438*G438*H438*F!$B$96,IF(I438=97%,F438*G438*H438*F!$B$97,IF(I438=98%,F438*G438*H438*F!$B$98,IF(I438=99%,F438*G438*H438*F!$B$99,IF(I438&gt;99%,F438*G438*H438*F!$B$100,))))))))))))))))))))))))))))))))))))))))))))))))))))))))+IF(M438&lt;30%,0,IF(M438&lt;35%,J438*K438*L438*F!$B$33,IF(M438&lt;40%,J438*K438*L438*F!$B$38,IF(M438&lt;45%,J438*K438*L438*F!$B$43,IF(M438&lt;50%,J438*K438*L438*F!$B$48,IF(M438=50%,J438*K438*L438*F!$B$50,IF(M438=51%,J438*K438*L438*F!$B$51,IF(M438=52%,J438*K438*L438*F!$B$52,IF(M438=53%,J438*K438*L438*F!$B$53,IF(M438=54%,J438*K438*L438*F!$B$54,IF(M438=55%,J438*K438*L438*F!$B$55,IF(M438=56%,J438*K438*L438*F!$B$56,IF(M438=57%,J438*K438*L438*F!$B$57,IF(M438=58%,J438*K438*L438*F!$B$58,IF(M438=59%,J438*K438*L438*F!$B$59,IF(M438=60%,J438*K438*L438*F!$B$60,IF(M438=61%,J438*K438*L438*F!$B$61,IF(M438=62%,J438*K438*L438*F!$B$62,IF(M438=63%,J438*K438*L438*F!$B$63,IF(M438=64%,J438*K438*L438*F!$B$64,IF(M438=65%,J438*K438*L438*F!$B$65,IF(M438=66%,J438*K438*L438*F!$B$66,IF(M438=67%,J438*K438*L438*F!$B$67,IF(M438=68%,J438*K438*L438*F!$B$68,IF(M438=69%,J438*K438*L438*F!$B$69,IF(M438=70%,J438*K438*L438*F!$B$70,IF(M438=71%,J438*K438*L438*F!$B$71,IF(M438=72%,J438*K438*L438*F!$B$72,IF(M438=73%,J438*K438*L438*F!$B$73,IF(M438=74%,J438*K438*L438*F!$B$74,IF(M438=75%,J438*K438*L438*F!$B$75,IF(M438=76%,J438*K438*L438*F!$B$76,IF(M438=77%,J438*K438*L438*F!$B$77,IF(M438=78%,J438*K438*L438*F!$B$78,IF(M438=79%,J438*K438*L438*F!$B$79,IF(M438=80%,J438*K438*L438*F!$B$80,IF(M438=81%,J438*K438*L438*F!$B$81,IF(M438=82%,J438*K438*L438*F!$B$82,IF(M438=83%,J438*K438*L438*F!$B$83,IF(M438=84%,J438*K438*L438*F!$B$84,IF(M438=85%,J438*K438*L438*F!$B$85,IF(M438=86%,J438*K438*L438*F!$B$86,IF(M438=87%,J438*K438*L438*F!$B$87,IF(M438=88%,J438*K438*L438*F!$B$88,IF(M438=89%,J438*K438*L438*F!$B$89,IF(M438=90%,J438*K438*L438*F!$B$90,IF(M438=91%,J438*K438*L438*F!$B$91,IF(M438=92%,J438*K438*L438*F!$B$92,IF(M438=93%,J438*K438*L438*F!$B$93,IF(M438=94%,J438*K438*L438*F!$B$94,IF(M438=95%,J438*K438*L438*F!$B$95,IF(M438=96%,J438*K438*L438*F!$B$96,IF(M438=97%,J438*K438*L438*F!$B$97,IF(M438=98%,J438*K438*L438*F!$B$98,IF(M438=99%,J438*K438*L438*F!$B$99,IF(M438&gt;99%,J438*K438*L438*F!$B$100,))))))))))))))))))))))))))))))))))))))))))))))))))))))))+IF(Q438&lt;30%,0,IF(Q438&lt;35%,N438*O438*P438*F!$B$33,IF(Q438&lt;40%,N438*O438*P438*F!$B$38,IF(Q438&lt;45%,N438*O438*P438*F!$B$43,IF(Q438&lt;50%,N438*O438*P438*F!$B$48,IF(Q438=50%,N438*O438*P438*F!$B$50,IF(Q438=51%,N438*O438*P438*F!$B$51,IF(Q438=52%,N438*O438*P438*F!$B$52,IF(Q438=53%,N438*O438*P438*F!$B$53,IF(Q438=54%,N438*O438*P438*F!$B$54,IF(Q438=55%,N438*O438*P438*F!$B$55,IF(Q438=56%,N438*O438*P438*F!$B$56,IF(Q438=57%,N438*O438*P438*F!$B$57,IF(Q438=58%,N438*O438*P438*F!$B$58,IF(Q438=59%,N438*O438*P438*F!$B$59,IF(Q438=60%,N438*O438*P438*F!$B$60,IF(Q438=61%,N438*O438*P438*F!$B$61,IF(Q438=62%,N438*O438*P438*F!$B$62,IF(Q438=63%,N438*O438*P438*F!$B$63,IF(Q438=64%,N438*O438*P438*F!$B$64,IF(Q438=65%,N438*O438*P438*F!$B$65,IF(Q438=66%,N438*O438*P438*F!$B$66,IF(Q438=67%,N438*O438*P438*F!$B$67,IF(Q438=68%,N438*O438*P438*F!$B$68,IF(Q438=69%,N438*O438*P438*F!$B$69,IF(Q438=70%,N438*O438*P438*F!$B$70,IF(Q438=71%,N438*O438*P438*F!$B$71,IF(Q438=72%,N438*O438*P438*F!$B$72,IF(Q438=73%,N438*O438*P438*F!$B$73,IF(Q438=74%,N438*O438*P438*F!$B$74,IF(Q438=75%,N438*O438*P438*F!$B$75,IF(Q438=76%,N438*O438*P438*F!$B$76,IF(Q438=77%,N438*O438*P438*F!$B$77,IF(Q438=78%,N438*O438*P438*F!$B$78,IF(Q438=79%,N438*O438*P438*F!$B$79,IF(Q438=80%,N438*O438*P438*F!$B$80,IF(Q438=81%,N438*O438*P438*F!$B$81,IF(Q438=82%,N438*O438*P438*F!$B$82,IF(Q438=83%,N438*O438*P438*F!$B$83,IF(Q438=84%,N438*O438*P438*F!$B$84,IF(Q438=85%,N438*O438*P438*F!$B$85,IF(Q438=86%,N438*O438*P438*F!$B$86,IF(Q438=87%,N438*O438*P438*F!$B$87,IF(Q438=88%,N438*O438*P438*F!$B$88,IF(Q438=89%,N438*O438*P438*F!$B$89,IF(Q438=90%,N438*O438*P438*F!$B$90,IF(Q438=91%,N438*O438*P438*F!$B$91,IF(Q438=92%,N438*O438*P438*F!$B$92,IF(Q438=93%,N438*O438*P438*F!$B$93,IF(Q438=94%,N438*O438*P438*F!$B$94,IF(Q438=95%,N438*O438*P438*F!$B$95,IF(Q438=96%,N438*O438*P438*F!$B$96,IF(Q438=97%,N438*O438*P438*F!$B$97,IF(Q438=98%,N438*O438*P438*F!$B$98,IF(Q438=99%,N438*O438*P438*F!$B$99,IF(Q438&gt;99%,N438*O438*P438*F!$B$100,))))))))))))))))))))))))))))))))))))))))))))))))))))))))+IF(U438&lt;30%,0,IF(U438&lt;35%,R438*S438*T438*F!$B$33,IF(U438&lt;40%,R438*S438*T438*F!$B$38,IF(U438&lt;45%,R438*S438*T438*F!$B$43,IF(U438&lt;50%,R438*S438*T438*F!$B$48,IF(U438=50%,R438*S438*T438*F!$B$50,IF(U438=51%,R438*S438*T438*F!$B$51,IF(U438=52%,R438*S438*T438*F!$B$52,IF(U438=53%,R438*S438*T438*F!$B$53,IF(U438=54%,R438*S438*T438*F!$B$54,IF(U438=55%,R438*S438*T438*F!$B$55,IF(U438=56%,R438*S438*T438*F!$B$56,IF(U438=57%,R438*S438*T438*F!$B$57,IF(U438=58%,R438*S438*T438*F!$B$58,IF(U438=59%,R438*S438*T438*F!$B$59,IF(U438=60%,R438*S438*T438*F!$B$60,IF(U438=61%,R438*S438*T438*F!$B$61,IF(U438=62%,R438*S438*T438*F!$B$62,IF(U438=63%,R438*S438*T438*F!$B$63,IF(U438=64%,R438*S438*T438*F!$B$64,IF(U438=65%,R438*S438*T438*F!$B$65,IF(U438=66%,R438*S438*T438*F!$B$66,IF(U438=67%,R438*S438*T438*F!$B$67,IF(U438=68%,R438*S438*T438*F!$B$68,IF(U438=69%,R438*S438*T438*F!$B$69,IF(U438=70%,R438*S438*T438*F!$B$70,IF(U438=71%,R438*S438*T438*F!$B$71,IF(U438=72%,R438*S438*T438*F!$B$72,IF(U438=73%,R438*S438*T438*F!$B$73,IF(U438=74%,R438*S438*T438*F!$B$74,IF(U438=75%,R438*S438*T438*F!$B$75,IF(U438=76%,R438*S438*T438*F!$B$76,IF(U438=77%,R438*S438*T438*F!$B$77,IF(U438=78%,R438*S438*T438*F!$B$78,IF(U438=79%,R438*S438*T438*F!$B$79,IF(U438=80%,R438*S438*T438*F!$B$80,IF(U438=81%,R438*S438*T438*F!$B$81,IF(U438=82%,R438*S438*T438*F!$B$82,IF(U438=83%,R438*S438*T438*F!$B$83,IF(U438=84%,R438*S438*T438*F!$B$84,IF(U438=85%,R438*S438*T438*F!$B$85,IF(U438=86%,R438*S438*T438*F!$B$86,IF(U438=87%,R438*S438*T438*F!$B$87,IF(U438=88%,R438*S438*T438*F!$B$88,IF(U438=89%,R438*S438*T438*F!$B$89,IF(U438=90%,R438*S438*T438*F!$B$90,IF(U438=91%,R438*S438*T438*F!$B$91,IF(U438=92%,R438*S438*T438*F!$B$92,IF(U438=93%,R438*S438*T438*F!$B$93,IF(U438=94%,R438*S438*T438*F!$B$94,IF(U438=95%,R438*S438*T438*F!$B$95,IF(U438=96%,R438*S438*T438*F!$B$96,IF(U438=97%,R438*S438*T438*F!$B$97,IF(U438=98%,R438*S438*T438*F!$B$98,IF(U438=99%,R438*S438*T438*F!$B$99,IF(U438&gt;99%,R438*S438*T438*F!$B$100)))))))))))))))))))))))))))))))))))))))))))))))))))))))))*IF(ISNUMBER(E438),E438,1)*IF(ISNUMBER(D438),D438,1)</f>
        <v>0</v>
      </c>
      <c r="AA438" s="235">
        <f t="shared" ref="AA438:AA443" si="1117">G438*H438+K438*L438+O438*P438+S438*T438</f>
        <v>0</v>
      </c>
      <c r="AB438" s="240">
        <f t="shared" ref="AB438:AB443" si="1118">(H438*(IF(I438&lt;45%,0.5,IF(I438&lt;55%,0.8,IF(I438&lt;65%,0.9,IF(I438&lt;75%,1,IF(I438&lt;85%,1.1,1.2))))))+L438*(IF(M438&lt;45%,0.5,IF(M438&lt;55%,0.8,IF(M438&lt;65%,0.9,IF(M438&lt;75%,1,IF(M438&lt;85%,1.1,1.2))))))+P438*(IF(Q438&lt;45%,0.5,IF(Q438&lt;55%,0.8,IF(Q438&lt;65%,0.9,IF(Q438&lt;75%,1,IF(Q438&lt;85%,1.1,1.2))))))+T438*(IF(U438&lt;45%,0.5,IF(U438&lt;55%,0.8,IF(U438&lt;65%,0.9,IF(U438&lt;75%,1,IF(U438&lt;85%,1.1,1.2)))))))*IF(D438&gt;=0.8,6,IF(D438&lt;=0.4,1.5,3))</f>
        <v>0</v>
      </c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</row>
    <row r="439" ht="15.75" hidden="1" customHeight="1">
      <c r="A439" s="196">
        <f>A432+1</f>
        <v>42414</v>
      </c>
      <c r="B439" s="241" t="str">
        <f t="shared" ref="B439:C439" si="1106">IF(B402="","",B402)</f>
        <v/>
      </c>
      <c r="C439" s="242" t="str">
        <f t="shared" si="1106"/>
        <v/>
      </c>
      <c r="D439" s="199" t="str">
        <f t="shared" si="1107"/>
        <v/>
      </c>
      <c r="E439" s="243" t="str">
        <f t="shared" si="1033"/>
        <v/>
      </c>
      <c r="F439" s="244"/>
      <c r="G439" s="245"/>
      <c r="H439" s="245"/>
      <c r="I439" s="246" t="str">
        <f t="shared" si="1108"/>
        <v/>
      </c>
      <c r="J439" s="244"/>
      <c r="K439" s="245"/>
      <c r="L439" s="245"/>
      <c r="M439" s="246" t="str">
        <f t="shared" si="1109"/>
        <v/>
      </c>
      <c r="N439" s="244"/>
      <c r="O439" s="245"/>
      <c r="P439" s="245"/>
      <c r="Q439" s="246" t="str">
        <f t="shared" si="1110"/>
        <v/>
      </c>
      <c r="R439" s="244"/>
      <c r="S439" s="245"/>
      <c r="T439" s="245"/>
      <c r="U439" s="246" t="str">
        <f t="shared" si="1111"/>
        <v/>
      </c>
      <c r="V439" s="247">
        <f t="shared" si="1112"/>
        <v>0</v>
      </c>
      <c r="W439" s="248">
        <f t="shared" si="1113"/>
        <v>0</v>
      </c>
      <c r="X439" s="249">
        <f t="shared" si="1114"/>
        <v>0</v>
      </c>
      <c r="Y439" s="207" t="str">
        <f t="shared" si="1115"/>
        <v/>
      </c>
      <c r="Z439" s="248">
        <f t="shared" si="1116"/>
        <v>0</v>
      </c>
      <c r="AA439" s="245">
        <f t="shared" si="1117"/>
        <v>0</v>
      </c>
      <c r="AB439" s="250">
        <f t="shared" si="1118"/>
        <v>0</v>
      </c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</row>
    <row r="440" ht="15.75" hidden="1" customHeight="1">
      <c r="A440" s="57"/>
      <c r="B440" s="241" t="str">
        <f t="shared" ref="B440:C440" si="1119">IF(B403="","",B403)</f>
        <v/>
      </c>
      <c r="C440" s="242" t="str">
        <f t="shared" si="1119"/>
        <v/>
      </c>
      <c r="D440" s="199" t="str">
        <f t="shared" si="1107"/>
        <v/>
      </c>
      <c r="E440" s="243" t="str">
        <f t="shared" si="1033"/>
        <v/>
      </c>
      <c r="F440" s="201"/>
      <c r="G440" s="202"/>
      <c r="H440" s="202"/>
      <c r="I440" s="203" t="str">
        <f t="shared" si="1108"/>
        <v/>
      </c>
      <c r="J440" s="201"/>
      <c r="K440" s="202"/>
      <c r="L440" s="202"/>
      <c r="M440" s="203" t="str">
        <f t="shared" si="1109"/>
        <v/>
      </c>
      <c r="N440" s="201"/>
      <c r="O440" s="202"/>
      <c r="P440" s="202"/>
      <c r="Q440" s="203" t="str">
        <f t="shared" si="1110"/>
        <v/>
      </c>
      <c r="R440" s="201"/>
      <c r="S440" s="202"/>
      <c r="T440" s="202"/>
      <c r="U440" s="203" t="str">
        <f t="shared" si="1111"/>
        <v/>
      </c>
      <c r="V440" s="204">
        <f t="shared" si="1112"/>
        <v>0</v>
      </c>
      <c r="W440" s="205">
        <f t="shared" si="1113"/>
        <v>0</v>
      </c>
      <c r="X440" s="206">
        <f t="shared" si="1114"/>
        <v>0</v>
      </c>
      <c r="Y440" s="207" t="str">
        <f t="shared" si="1115"/>
        <v/>
      </c>
      <c r="Z440" s="205">
        <f t="shared" si="1116"/>
        <v>0</v>
      </c>
      <c r="AA440" s="202">
        <f t="shared" si="1117"/>
        <v>0</v>
      </c>
      <c r="AB440" s="208">
        <f t="shared" si="1118"/>
        <v>0</v>
      </c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</row>
    <row r="441" ht="15.75" hidden="1" customHeight="1">
      <c r="A441" s="57"/>
      <c r="B441" s="241" t="str">
        <f t="shared" ref="B441:C441" si="1120">IF(B404="","",B404)</f>
        <v/>
      </c>
      <c r="C441" s="242" t="str">
        <f t="shared" si="1120"/>
        <v/>
      </c>
      <c r="D441" s="199" t="str">
        <f t="shared" si="1107"/>
        <v/>
      </c>
      <c r="E441" s="243" t="str">
        <f t="shared" si="1033"/>
        <v/>
      </c>
      <c r="F441" s="244"/>
      <c r="G441" s="245"/>
      <c r="H441" s="245"/>
      <c r="I441" s="246" t="str">
        <f t="shared" si="1108"/>
        <v/>
      </c>
      <c r="J441" s="244"/>
      <c r="K441" s="245"/>
      <c r="L441" s="245"/>
      <c r="M441" s="246" t="str">
        <f t="shared" si="1109"/>
        <v/>
      </c>
      <c r="N441" s="244"/>
      <c r="O441" s="245"/>
      <c r="P441" s="245"/>
      <c r="Q441" s="246" t="str">
        <f t="shared" si="1110"/>
        <v/>
      </c>
      <c r="R441" s="244"/>
      <c r="S441" s="245"/>
      <c r="T441" s="245"/>
      <c r="U441" s="246" t="str">
        <f t="shared" si="1111"/>
        <v/>
      </c>
      <c r="V441" s="247">
        <f t="shared" si="1112"/>
        <v>0</v>
      </c>
      <c r="W441" s="248">
        <f t="shared" si="1113"/>
        <v>0</v>
      </c>
      <c r="X441" s="249">
        <f t="shared" si="1114"/>
        <v>0</v>
      </c>
      <c r="Y441" s="207" t="str">
        <f t="shared" si="1115"/>
        <v/>
      </c>
      <c r="Z441" s="248">
        <f t="shared" si="1116"/>
        <v>0</v>
      </c>
      <c r="AA441" s="245">
        <f t="shared" si="1117"/>
        <v>0</v>
      </c>
      <c r="AB441" s="250">
        <f t="shared" si="1118"/>
        <v>0</v>
      </c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</row>
    <row r="442" ht="15.75" hidden="1" customHeight="1">
      <c r="A442" s="57"/>
      <c r="B442" s="241" t="str">
        <f t="shared" ref="B442:C442" si="1121">IF(B405="","",B405)</f>
        <v/>
      </c>
      <c r="C442" s="242" t="str">
        <f t="shared" si="1121"/>
        <v/>
      </c>
      <c r="D442" s="199" t="str">
        <f t="shared" si="1107"/>
        <v/>
      </c>
      <c r="E442" s="243" t="str">
        <f t="shared" si="1033"/>
        <v/>
      </c>
      <c r="F442" s="201"/>
      <c r="G442" s="202"/>
      <c r="H442" s="202"/>
      <c r="I442" s="203" t="str">
        <f t="shared" si="1108"/>
        <v/>
      </c>
      <c r="J442" s="201"/>
      <c r="K442" s="202"/>
      <c r="L442" s="202"/>
      <c r="M442" s="203" t="str">
        <f t="shared" si="1109"/>
        <v/>
      </c>
      <c r="N442" s="201"/>
      <c r="O442" s="202"/>
      <c r="P442" s="202"/>
      <c r="Q442" s="203" t="str">
        <f t="shared" si="1110"/>
        <v/>
      </c>
      <c r="R442" s="201"/>
      <c r="S442" s="202"/>
      <c r="T442" s="202"/>
      <c r="U442" s="203" t="str">
        <f t="shared" si="1111"/>
        <v/>
      </c>
      <c r="V442" s="204">
        <f t="shared" si="1112"/>
        <v>0</v>
      </c>
      <c r="W442" s="205">
        <f t="shared" si="1113"/>
        <v>0</v>
      </c>
      <c r="X442" s="251">
        <f t="shared" si="1114"/>
        <v>0</v>
      </c>
      <c r="Y442" s="207" t="str">
        <f t="shared" si="1115"/>
        <v/>
      </c>
      <c r="Z442" s="205">
        <f t="shared" si="1116"/>
        <v>0</v>
      </c>
      <c r="AA442" s="202">
        <f t="shared" si="1117"/>
        <v>0</v>
      </c>
      <c r="AB442" s="208">
        <f t="shared" si="1118"/>
        <v>0</v>
      </c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</row>
    <row r="443" ht="15.75" hidden="1" customHeight="1">
      <c r="A443" s="57"/>
      <c r="B443" s="241" t="str">
        <f t="shared" ref="B443:C443" si="1122">IF(B406="","",B406)</f>
        <v/>
      </c>
      <c r="C443" s="242" t="str">
        <f t="shared" si="1122"/>
        <v/>
      </c>
      <c r="D443" s="199" t="str">
        <f t="shared" si="1107"/>
        <v/>
      </c>
      <c r="E443" s="243" t="str">
        <f t="shared" si="1033"/>
        <v/>
      </c>
      <c r="F443" s="244"/>
      <c r="G443" s="245"/>
      <c r="H443" s="245"/>
      <c r="I443" s="246" t="str">
        <f t="shared" si="1108"/>
        <v/>
      </c>
      <c r="J443" s="244"/>
      <c r="K443" s="245"/>
      <c r="L443" s="245"/>
      <c r="M443" s="246" t="str">
        <f t="shared" si="1109"/>
        <v/>
      </c>
      <c r="N443" s="244"/>
      <c r="O443" s="245"/>
      <c r="P443" s="245"/>
      <c r="Q443" s="246" t="str">
        <f t="shared" si="1110"/>
        <v/>
      </c>
      <c r="R443" s="244"/>
      <c r="S443" s="245"/>
      <c r="T443" s="245"/>
      <c r="U443" s="246" t="str">
        <f t="shared" si="1111"/>
        <v/>
      </c>
      <c r="V443" s="247">
        <f t="shared" si="1112"/>
        <v>0</v>
      </c>
      <c r="W443" s="248">
        <f t="shared" si="1113"/>
        <v>0</v>
      </c>
      <c r="X443" s="249">
        <f t="shared" si="1114"/>
        <v>0</v>
      </c>
      <c r="Y443" s="207" t="str">
        <f t="shared" si="1115"/>
        <v/>
      </c>
      <c r="Z443" s="248">
        <f t="shared" si="1116"/>
        <v>0</v>
      </c>
      <c r="AA443" s="245">
        <f t="shared" si="1117"/>
        <v>0</v>
      </c>
      <c r="AB443" s="250">
        <f t="shared" si="1118"/>
        <v>0</v>
      </c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</row>
    <row r="444" ht="15.75" hidden="1" customHeight="1">
      <c r="A444" s="72"/>
      <c r="B444" s="252" t="str">
        <f t="shared" ref="B444:C444" si="1123">IF(B407="","",B407)</f>
        <v/>
      </c>
      <c r="C444" s="253" t="str">
        <f t="shared" si="1123"/>
        <v/>
      </c>
      <c r="D444" s="219">
        <f>ROUND(IFERROR((D438*(G438*H438+K438*L438+O438*P438+S438*T438)+D439*(G439*H439+K439*L439+O439*P439+S439*T439)+D440*(G440*H440+K440*L440+O440*P440+S440*T440)+D441*(G441*H441+K441*L441+O441*P441+S441*T441)+D442*(G442*H442+K442*L442+O442*P442+S442*T442)+D443*(G443*H443+K443*L443+O443*P443+S443*T443))/((G438*H438+K438*L438+O438*P438+S438*T438)+(G439*H439+K439*L439+O439*P439+S439*T439)+(G440*H440+K440*L440+O440*P440+S440*T440)+(G441*H441+K441*L441+O441*P441+S441*T441)+(G442*H442+K442*L442+O442*P442+S442*T442)+(G443*H443+K443*L443+O443*P443+S443*T443)),0),2)</f>
        <v>0</v>
      </c>
      <c r="E444" s="254" t="str">
        <f t="shared" si="1033"/>
        <v/>
      </c>
      <c r="F444" s="255"/>
      <c r="G444" s="256"/>
      <c r="H444" s="256"/>
      <c r="I444" s="257"/>
      <c r="J444" s="255"/>
      <c r="K444" s="256"/>
      <c r="L444" s="256"/>
      <c r="M444" s="257"/>
      <c r="N444" s="255"/>
      <c r="O444" s="256"/>
      <c r="P444" s="256"/>
      <c r="Q444" s="257"/>
      <c r="R444" s="255"/>
      <c r="S444" s="256"/>
      <c r="T444" s="256"/>
      <c r="U444" s="257"/>
      <c r="V444" s="224">
        <f>SUM(V438:V443)</f>
        <v>0</v>
      </c>
      <c r="W444" s="225">
        <f>IFERROR(V444/AA444,0)</f>
        <v>0</v>
      </c>
      <c r="X444" s="226">
        <f>ROUND(IFERROR(((I438*G438*H438+M438*K438*L438+Q438*O438*P438+U438*S438*T438)+(I439*G439*H439+M439*K439*L439+Q439*O439*P439+U439*S439*T439)+(I440*G440*H440+M440*K440*L440+Q440*O440*P440+U440*S440*T440)+(I441*G441*H441+M441*K441*L441+Q441*O441*P441+U441*S441*T441)+(I442*G442*H442+M442*K442*L442+Q442*O442*P442+U442*S442*T442)+(I443*G443*H443+M443*K443*L443+Q443*O443*P443+U443*S443*T443))/((G438*H438+K438*L438+O438*P438+S438*T438)+(G439*H439+K439*L439+O439*P439+S439*T439)+(G440*H440+K440*L440+O440*P440+S440*T440)+(G441*H441+K441*L441+O441*P441+S441*T441)+(G442*H442+K442*L442+O442*P442+S442*T442)+(G443*H443+K443*L443+O443*P443+S443*T443)),0),3)</f>
        <v>0</v>
      </c>
      <c r="Y444" s="227"/>
      <c r="Z444" s="225">
        <f t="shared" ref="Z444:AA444" si="1124">SUM(Z438:Z443)</f>
        <v>0</v>
      </c>
      <c r="AA444" s="228">
        <f t="shared" si="1124"/>
        <v>0</v>
      </c>
      <c r="AB444" s="229">
        <f>IF(SUM(AB438:AB443)=0,TIME(,0,),TIME(,SUM(AB438:AB443)+30,))</f>
        <v>0</v>
      </c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</row>
  </sheetData>
  <mergeCells count="72">
    <mergeCell ref="A254:A259"/>
    <mergeCell ref="A263:A268"/>
    <mergeCell ref="A270:A275"/>
    <mergeCell ref="A277:A282"/>
    <mergeCell ref="A284:A289"/>
    <mergeCell ref="A291:A296"/>
    <mergeCell ref="A300:A305"/>
    <mergeCell ref="A388:A393"/>
    <mergeCell ref="A395:A400"/>
    <mergeCell ref="A402:A407"/>
    <mergeCell ref="A411:A416"/>
    <mergeCell ref="A418:A423"/>
    <mergeCell ref="A425:A430"/>
    <mergeCell ref="A432:A437"/>
    <mergeCell ref="A439:A444"/>
    <mergeCell ref="A337:A342"/>
    <mergeCell ref="A344:A349"/>
    <mergeCell ref="A351:A356"/>
    <mergeCell ref="A358:A363"/>
    <mergeCell ref="A365:A370"/>
    <mergeCell ref="A374:A379"/>
    <mergeCell ref="A381:A386"/>
    <mergeCell ref="A1:U1"/>
    <mergeCell ref="A4:A9"/>
    <mergeCell ref="A11:A16"/>
    <mergeCell ref="A18:A23"/>
    <mergeCell ref="A25:A30"/>
    <mergeCell ref="A32:A37"/>
    <mergeCell ref="A38:U38"/>
    <mergeCell ref="A41:A46"/>
    <mergeCell ref="A48:A53"/>
    <mergeCell ref="A55:A60"/>
    <mergeCell ref="A62:A67"/>
    <mergeCell ref="A69:A74"/>
    <mergeCell ref="A75:U75"/>
    <mergeCell ref="A78:A83"/>
    <mergeCell ref="A85:A90"/>
    <mergeCell ref="A92:A97"/>
    <mergeCell ref="A99:A104"/>
    <mergeCell ref="A106:A111"/>
    <mergeCell ref="A112:U112"/>
    <mergeCell ref="A115:A120"/>
    <mergeCell ref="A122:A127"/>
    <mergeCell ref="A129:A134"/>
    <mergeCell ref="A136:A141"/>
    <mergeCell ref="A143:A148"/>
    <mergeCell ref="A149:U149"/>
    <mergeCell ref="A152:A157"/>
    <mergeCell ref="A159:A164"/>
    <mergeCell ref="A166:A171"/>
    <mergeCell ref="A173:A178"/>
    <mergeCell ref="A180:A185"/>
    <mergeCell ref="A186:U186"/>
    <mergeCell ref="A189:A194"/>
    <mergeCell ref="A196:A201"/>
    <mergeCell ref="A203:A208"/>
    <mergeCell ref="A210:A215"/>
    <mergeCell ref="A217:A222"/>
    <mergeCell ref="A223:U223"/>
    <mergeCell ref="A226:A231"/>
    <mergeCell ref="A233:A238"/>
    <mergeCell ref="A240:A245"/>
    <mergeCell ref="A247:A252"/>
    <mergeCell ref="A260:U260"/>
    <mergeCell ref="A297:U297"/>
    <mergeCell ref="A307:A312"/>
    <mergeCell ref="A314:A319"/>
    <mergeCell ref="A321:A326"/>
    <mergeCell ref="A328:A333"/>
    <mergeCell ref="A334:U334"/>
    <mergeCell ref="A371:U371"/>
    <mergeCell ref="A408:U40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hidden="1" min="2" max="2" width="4.43"/>
    <col customWidth="1" min="3" max="3" width="4.43"/>
    <col customWidth="1" min="4" max="4" width="4.57"/>
    <col customWidth="1" min="5" max="6" width="4.86"/>
    <col customWidth="1" min="7" max="7" width="4.43"/>
    <col customWidth="1" min="8" max="8" width="4.57"/>
    <col customWidth="1" min="9" max="10" width="4.86"/>
    <col customWidth="1" min="11" max="11" width="4.43"/>
    <col customWidth="1" min="12" max="12" width="4.57"/>
    <col customWidth="1" min="13" max="13" width="4.86"/>
    <col customWidth="1" min="14" max="14" width="6.14"/>
    <col customWidth="1" min="15" max="15" width="4.43"/>
    <col customWidth="1" min="16" max="16" width="4.57"/>
    <col customWidth="1" min="17" max="17" width="4.86"/>
    <col customWidth="1" min="18" max="18" width="5.57"/>
    <col customWidth="1" min="19" max="19" width="8.0"/>
    <col customWidth="1" min="20" max="20" width="9.29"/>
    <col customWidth="1" min="21" max="21" width="6.71"/>
    <col customWidth="1" min="22" max="22" width="5.86"/>
    <col customWidth="1" min="23" max="23" width="10.14"/>
    <col customWidth="1" min="24" max="24" width="5.71"/>
    <col customWidth="1" min="25" max="44" width="8.71"/>
  </cols>
  <sheetData>
    <row r="1">
      <c r="A1" s="258" t="str">
        <f>B3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9"/>
      <c r="Z1" s="9"/>
      <c r="AA1" s="9"/>
      <c r="AB1" s="9"/>
      <c r="AC1" s="9"/>
      <c r="AD1" s="39"/>
      <c r="AE1" s="40"/>
      <c r="AF1" s="40"/>
      <c r="AG1" s="259"/>
      <c r="AH1" s="39"/>
      <c r="AI1" s="40"/>
      <c r="AJ1" s="40"/>
      <c r="AK1" s="259"/>
      <c r="AL1" s="40"/>
      <c r="AM1" s="40"/>
      <c r="AN1" s="40"/>
      <c r="AO1" s="259"/>
      <c r="AP1" s="40"/>
      <c r="AQ1" s="40"/>
      <c r="AR1" s="40"/>
    </row>
    <row r="2">
      <c r="A2" s="260"/>
      <c r="B2" s="261"/>
      <c r="C2" s="261" t="s">
        <v>6</v>
      </c>
      <c r="D2" s="261" t="s">
        <v>7</v>
      </c>
      <c r="E2" s="261" t="s">
        <v>8</v>
      </c>
      <c r="F2" s="261" t="s">
        <v>9</v>
      </c>
      <c r="G2" s="261" t="s">
        <v>6</v>
      </c>
      <c r="H2" s="261" t="s">
        <v>7</v>
      </c>
      <c r="I2" s="261" t="s">
        <v>8</v>
      </c>
      <c r="J2" s="261" t="s">
        <v>9</v>
      </c>
      <c r="K2" s="261" t="s">
        <v>6</v>
      </c>
      <c r="L2" s="261" t="s">
        <v>7</v>
      </c>
      <c r="M2" s="261" t="s">
        <v>8</v>
      </c>
      <c r="N2" s="261" t="s">
        <v>9</v>
      </c>
      <c r="O2" s="261" t="s">
        <v>6</v>
      </c>
      <c r="P2" s="261" t="s">
        <v>7</v>
      </c>
      <c r="Q2" s="261" t="s">
        <v>8</v>
      </c>
      <c r="R2" s="261" t="s">
        <v>9</v>
      </c>
      <c r="S2" s="261" t="s">
        <v>10</v>
      </c>
      <c r="T2" s="262" t="s">
        <v>11</v>
      </c>
      <c r="U2" s="262" t="s">
        <v>58</v>
      </c>
      <c r="V2" s="263" t="s">
        <v>13</v>
      </c>
      <c r="W2" s="264" t="s">
        <v>14</v>
      </c>
      <c r="X2" s="265" t="s">
        <v>15</v>
      </c>
      <c r="Y2" s="9"/>
      <c r="Z2" s="9"/>
      <c r="AA2" s="9"/>
      <c r="AB2" s="9"/>
      <c r="AC2" s="9"/>
      <c r="AD2" s="40"/>
      <c r="AE2" s="40"/>
      <c r="AF2" s="40"/>
      <c r="AG2" s="259"/>
      <c r="AH2" s="40"/>
      <c r="AI2" s="40"/>
      <c r="AJ2" s="40"/>
      <c r="AK2" s="259"/>
      <c r="AL2" s="40"/>
      <c r="AM2" s="40"/>
      <c r="AN2" s="40"/>
      <c r="AO2" s="259"/>
      <c r="AP2" s="40"/>
      <c r="AQ2" s="40"/>
      <c r="AR2" s="40"/>
    </row>
    <row r="3">
      <c r="A3" s="266">
        <v>1.0</v>
      </c>
      <c r="B3" s="242"/>
      <c r="C3" s="244"/>
      <c r="D3" s="245"/>
      <c r="E3" s="245"/>
      <c r="F3" s="246">
        <v>0.0</v>
      </c>
      <c r="G3" s="267"/>
      <c r="H3" s="245"/>
      <c r="I3" s="245"/>
      <c r="J3" s="246">
        <v>0.0</v>
      </c>
      <c r="K3" s="244"/>
      <c r="L3" s="245"/>
      <c r="M3" s="245"/>
      <c r="N3" s="246">
        <v>0.0</v>
      </c>
      <c r="O3" s="244"/>
      <c r="P3" s="245"/>
      <c r="Q3" s="245"/>
      <c r="R3" s="268">
        <v>0.0</v>
      </c>
      <c r="S3" s="269">
        <v>0.0</v>
      </c>
      <c r="T3" s="248">
        <v>0.0</v>
      </c>
      <c r="U3" s="249">
        <v>0.0</v>
      </c>
      <c r="V3" s="207"/>
      <c r="W3" s="248">
        <v>0.0</v>
      </c>
      <c r="X3" s="245">
        <v>0.0</v>
      </c>
      <c r="Y3" s="9"/>
      <c r="Z3" s="9"/>
      <c r="AA3" s="40"/>
      <c r="AB3" s="270"/>
      <c r="AC3" s="270"/>
      <c r="AD3" s="259"/>
      <c r="AE3" s="40"/>
      <c r="AF3" s="270"/>
      <c r="AG3" s="270"/>
      <c r="AH3" s="259"/>
      <c r="AI3" s="40"/>
      <c r="AJ3" s="270"/>
      <c r="AK3" s="270"/>
      <c r="AL3" s="259"/>
      <c r="AM3" s="40"/>
      <c r="AN3" s="270"/>
      <c r="AO3" s="270"/>
      <c r="AP3" s="259"/>
      <c r="AQ3" s="271"/>
      <c r="AR3" s="272"/>
    </row>
    <row r="4">
      <c r="A4" s="273">
        <v>2.0</v>
      </c>
      <c r="B4" s="242" t="s">
        <v>59</v>
      </c>
      <c r="C4" s="244"/>
      <c r="D4" s="245"/>
      <c r="E4" s="245"/>
      <c r="F4" s="246">
        <v>0.0</v>
      </c>
      <c r="G4" s="267"/>
      <c r="H4" s="245"/>
      <c r="I4" s="245"/>
      <c r="J4" s="246">
        <v>0.0</v>
      </c>
      <c r="K4" s="244"/>
      <c r="L4" s="245"/>
      <c r="M4" s="245"/>
      <c r="N4" s="246">
        <v>0.0</v>
      </c>
      <c r="O4" s="244"/>
      <c r="P4" s="245"/>
      <c r="Q4" s="245"/>
      <c r="R4" s="268">
        <v>0.0</v>
      </c>
      <c r="S4" s="269">
        <v>0.0</v>
      </c>
      <c r="T4" s="248">
        <v>0.0</v>
      </c>
      <c r="U4" s="249">
        <v>0.0</v>
      </c>
      <c r="V4" s="207" t="s">
        <v>59</v>
      </c>
      <c r="W4" s="248">
        <v>0.0</v>
      </c>
      <c r="X4" s="245">
        <v>0.0</v>
      </c>
      <c r="Y4" s="9"/>
      <c r="Z4" s="9"/>
      <c r="AA4" s="40"/>
      <c r="AB4" s="270"/>
      <c r="AC4" s="270"/>
      <c r="AD4" s="259"/>
      <c r="AE4" s="40"/>
      <c r="AF4" s="270"/>
      <c r="AG4" s="270"/>
      <c r="AH4" s="259"/>
      <c r="AI4" s="40"/>
      <c r="AJ4" s="270"/>
      <c r="AK4" s="270"/>
      <c r="AL4" s="259"/>
      <c r="AM4" s="40"/>
      <c r="AN4" s="270"/>
      <c r="AO4" s="270"/>
      <c r="AP4" s="259"/>
      <c r="AQ4" s="271"/>
      <c r="AR4" s="272"/>
    </row>
    <row r="5">
      <c r="A5" s="273">
        <v>3.0</v>
      </c>
      <c r="B5" s="242" t="s">
        <v>59</v>
      </c>
      <c r="C5" s="244"/>
      <c r="D5" s="245"/>
      <c r="E5" s="245"/>
      <c r="F5" s="246">
        <v>0.0</v>
      </c>
      <c r="G5" s="267"/>
      <c r="H5" s="245"/>
      <c r="I5" s="245"/>
      <c r="J5" s="246">
        <v>0.0</v>
      </c>
      <c r="K5" s="244"/>
      <c r="L5" s="245"/>
      <c r="M5" s="245"/>
      <c r="N5" s="246">
        <v>0.0</v>
      </c>
      <c r="O5" s="244"/>
      <c r="P5" s="245"/>
      <c r="Q5" s="245"/>
      <c r="R5" s="268">
        <v>0.0</v>
      </c>
      <c r="S5" s="269">
        <v>0.0</v>
      </c>
      <c r="T5" s="248">
        <v>0.0</v>
      </c>
      <c r="U5" s="249">
        <v>0.0</v>
      </c>
      <c r="V5" s="207" t="s">
        <v>59</v>
      </c>
      <c r="W5" s="248">
        <v>0.0</v>
      </c>
      <c r="X5" s="245">
        <v>0.0</v>
      </c>
      <c r="Y5" s="9"/>
      <c r="Z5" s="9"/>
      <c r="AA5" s="40"/>
      <c r="AB5" s="270"/>
      <c r="AC5" s="270"/>
      <c r="AD5" s="259"/>
      <c r="AE5" s="40"/>
      <c r="AF5" s="270"/>
      <c r="AG5" s="270"/>
      <c r="AH5" s="259"/>
      <c r="AI5" s="40"/>
      <c r="AJ5" s="270"/>
      <c r="AK5" s="270"/>
      <c r="AL5" s="259"/>
      <c r="AM5" s="40"/>
      <c r="AN5" s="270"/>
      <c r="AO5" s="270"/>
      <c r="AP5" s="259"/>
      <c r="AQ5" s="271"/>
      <c r="AR5" s="272"/>
    </row>
    <row r="6">
      <c r="A6" s="273">
        <v>4.0</v>
      </c>
      <c r="B6" s="242" t="s">
        <v>59</v>
      </c>
      <c r="C6" s="244"/>
      <c r="D6" s="245"/>
      <c r="E6" s="245"/>
      <c r="F6" s="246">
        <v>0.0</v>
      </c>
      <c r="G6" s="267"/>
      <c r="H6" s="245"/>
      <c r="I6" s="245"/>
      <c r="J6" s="246">
        <v>0.0</v>
      </c>
      <c r="K6" s="244"/>
      <c r="L6" s="245"/>
      <c r="M6" s="245"/>
      <c r="N6" s="246">
        <v>0.0</v>
      </c>
      <c r="O6" s="244"/>
      <c r="P6" s="245"/>
      <c r="Q6" s="245"/>
      <c r="R6" s="268">
        <v>0.0</v>
      </c>
      <c r="S6" s="269">
        <v>0.0</v>
      </c>
      <c r="T6" s="248">
        <v>0.0</v>
      </c>
      <c r="U6" s="249">
        <v>0.0</v>
      </c>
      <c r="V6" s="207" t="s">
        <v>59</v>
      </c>
      <c r="W6" s="248">
        <v>0.0</v>
      </c>
      <c r="X6" s="245">
        <v>0.0</v>
      </c>
      <c r="Y6" s="9"/>
      <c r="Z6" s="9"/>
      <c r="AA6" s="40"/>
      <c r="AB6" s="270"/>
      <c r="AC6" s="270"/>
      <c r="AD6" s="259"/>
      <c r="AE6" s="40"/>
      <c r="AF6" s="270"/>
      <c r="AG6" s="270"/>
      <c r="AH6" s="259"/>
      <c r="AI6" s="40"/>
      <c r="AJ6" s="270"/>
      <c r="AK6" s="270"/>
      <c r="AL6" s="259"/>
      <c r="AM6" s="40"/>
      <c r="AN6" s="270"/>
      <c r="AO6" s="270"/>
      <c r="AP6" s="259"/>
      <c r="AQ6" s="271"/>
      <c r="AR6" s="272"/>
    </row>
    <row r="7">
      <c r="A7" s="273">
        <v>5.0</v>
      </c>
      <c r="B7" s="242" t="s">
        <v>59</v>
      </c>
      <c r="C7" s="244"/>
      <c r="D7" s="245"/>
      <c r="E7" s="245"/>
      <c r="F7" s="246">
        <v>0.0</v>
      </c>
      <c r="G7" s="267"/>
      <c r="H7" s="245"/>
      <c r="I7" s="245"/>
      <c r="J7" s="246">
        <v>0.0</v>
      </c>
      <c r="K7" s="244"/>
      <c r="L7" s="245"/>
      <c r="M7" s="245"/>
      <c r="N7" s="246">
        <v>0.0</v>
      </c>
      <c r="O7" s="244"/>
      <c r="P7" s="245"/>
      <c r="Q7" s="245"/>
      <c r="R7" s="268">
        <v>0.0</v>
      </c>
      <c r="S7" s="269">
        <v>0.0</v>
      </c>
      <c r="T7" s="248">
        <v>0.0</v>
      </c>
      <c r="U7" s="249">
        <v>0.0</v>
      </c>
      <c r="V7" s="207" t="s">
        <v>59</v>
      </c>
      <c r="W7" s="248">
        <v>0.0</v>
      </c>
      <c r="X7" s="245">
        <v>0.0</v>
      </c>
      <c r="Y7" s="9"/>
      <c r="Z7" s="9"/>
      <c r="AA7" s="40"/>
      <c r="AB7" s="270"/>
      <c r="AC7" s="270"/>
      <c r="AD7" s="259"/>
      <c r="AE7" s="40"/>
      <c r="AF7" s="270"/>
      <c r="AG7" s="270"/>
      <c r="AH7" s="259"/>
      <c r="AI7" s="40"/>
      <c r="AJ7" s="270"/>
      <c r="AK7" s="270"/>
      <c r="AL7" s="259"/>
      <c r="AM7" s="40"/>
      <c r="AN7" s="270"/>
      <c r="AO7" s="270"/>
      <c r="AP7" s="259"/>
      <c r="AQ7" s="271"/>
      <c r="AR7" s="272"/>
    </row>
    <row r="8">
      <c r="A8" s="273">
        <v>6.0</v>
      </c>
      <c r="B8" s="242" t="s">
        <v>59</v>
      </c>
      <c r="C8" s="244"/>
      <c r="D8" s="245"/>
      <c r="E8" s="245"/>
      <c r="F8" s="246">
        <v>0.0</v>
      </c>
      <c r="G8" s="267"/>
      <c r="H8" s="245"/>
      <c r="I8" s="245"/>
      <c r="J8" s="246">
        <v>0.0</v>
      </c>
      <c r="K8" s="244"/>
      <c r="L8" s="245"/>
      <c r="M8" s="245"/>
      <c r="N8" s="246">
        <v>0.0</v>
      </c>
      <c r="O8" s="244"/>
      <c r="P8" s="245"/>
      <c r="Q8" s="245"/>
      <c r="R8" s="268">
        <v>0.0</v>
      </c>
      <c r="S8" s="269">
        <v>0.0</v>
      </c>
      <c r="T8" s="248">
        <v>0.0</v>
      </c>
      <c r="U8" s="249">
        <v>0.0</v>
      </c>
      <c r="V8" s="207" t="s">
        <v>59</v>
      </c>
      <c r="W8" s="248">
        <v>0.0</v>
      </c>
      <c r="X8" s="245">
        <v>0.0</v>
      </c>
      <c r="Y8" s="9"/>
      <c r="Z8" s="9"/>
      <c r="AA8" s="40"/>
      <c r="AB8" s="270"/>
      <c r="AC8" s="270"/>
      <c r="AD8" s="259"/>
      <c r="AE8" s="40"/>
      <c r="AF8" s="270"/>
      <c r="AG8" s="270"/>
      <c r="AH8" s="259"/>
      <c r="AI8" s="40"/>
      <c r="AJ8" s="270"/>
      <c r="AK8" s="270"/>
      <c r="AL8" s="259"/>
      <c r="AM8" s="40"/>
      <c r="AN8" s="270"/>
      <c r="AO8" s="270"/>
      <c r="AP8" s="259"/>
      <c r="AQ8" s="271"/>
      <c r="AR8" s="272"/>
    </row>
    <row r="9">
      <c r="A9" s="273">
        <v>7.0</v>
      </c>
      <c r="B9" s="242" t="s">
        <v>59</v>
      </c>
      <c r="C9" s="244"/>
      <c r="D9" s="245"/>
      <c r="E9" s="245"/>
      <c r="F9" s="246">
        <v>0.0</v>
      </c>
      <c r="G9" s="267"/>
      <c r="H9" s="245"/>
      <c r="I9" s="245"/>
      <c r="J9" s="246">
        <v>0.0</v>
      </c>
      <c r="K9" s="244"/>
      <c r="L9" s="245"/>
      <c r="M9" s="245"/>
      <c r="N9" s="246">
        <v>0.0</v>
      </c>
      <c r="O9" s="244"/>
      <c r="P9" s="245"/>
      <c r="Q9" s="245"/>
      <c r="R9" s="268">
        <v>0.0</v>
      </c>
      <c r="S9" s="269">
        <v>0.0</v>
      </c>
      <c r="T9" s="248">
        <v>0.0</v>
      </c>
      <c r="U9" s="249">
        <v>0.0</v>
      </c>
      <c r="V9" s="207" t="s">
        <v>59</v>
      </c>
      <c r="W9" s="248">
        <v>0.0</v>
      </c>
      <c r="X9" s="245">
        <v>0.0</v>
      </c>
      <c r="Y9" s="9"/>
      <c r="Z9" s="9"/>
      <c r="AA9" s="40"/>
      <c r="AB9" s="270"/>
      <c r="AC9" s="270"/>
      <c r="AD9" s="259"/>
      <c r="AE9" s="40"/>
      <c r="AF9" s="270"/>
      <c r="AG9" s="270"/>
      <c r="AH9" s="259"/>
      <c r="AI9" s="40"/>
      <c r="AJ9" s="270"/>
      <c r="AK9" s="270"/>
      <c r="AL9" s="259"/>
      <c r="AM9" s="40"/>
      <c r="AN9" s="270"/>
      <c r="AO9" s="270"/>
      <c r="AP9" s="259"/>
      <c r="AQ9" s="271"/>
      <c r="AR9" s="272"/>
    </row>
    <row r="10">
      <c r="A10" s="273">
        <v>8.0</v>
      </c>
      <c r="B10" s="242" t="s">
        <v>59</v>
      </c>
      <c r="C10" s="244"/>
      <c r="D10" s="245"/>
      <c r="E10" s="245"/>
      <c r="F10" s="246">
        <v>0.0</v>
      </c>
      <c r="G10" s="267"/>
      <c r="H10" s="245"/>
      <c r="I10" s="245"/>
      <c r="J10" s="246">
        <v>0.0</v>
      </c>
      <c r="K10" s="244"/>
      <c r="L10" s="245"/>
      <c r="M10" s="245"/>
      <c r="N10" s="246">
        <v>0.0</v>
      </c>
      <c r="O10" s="244"/>
      <c r="P10" s="245"/>
      <c r="Q10" s="245"/>
      <c r="R10" s="268">
        <v>0.0</v>
      </c>
      <c r="S10" s="269">
        <v>0.0</v>
      </c>
      <c r="T10" s="248">
        <v>0.0</v>
      </c>
      <c r="U10" s="249">
        <v>0.0</v>
      </c>
      <c r="V10" s="207" t="s">
        <v>59</v>
      </c>
      <c r="W10" s="248">
        <v>0.0</v>
      </c>
      <c r="X10" s="245">
        <v>0.0</v>
      </c>
      <c r="Y10" s="9"/>
      <c r="Z10" s="9"/>
      <c r="AA10" s="40"/>
      <c r="AB10" s="270"/>
      <c r="AC10" s="270"/>
      <c r="AD10" s="259"/>
      <c r="AE10" s="40"/>
      <c r="AF10" s="270"/>
      <c r="AG10" s="270"/>
      <c r="AH10" s="259"/>
      <c r="AI10" s="40"/>
      <c r="AJ10" s="270"/>
      <c r="AK10" s="270"/>
      <c r="AL10" s="259"/>
      <c r="AM10" s="40"/>
      <c r="AN10" s="270"/>
      <c r="AO10" s="270"/>
      <c r="AP10" s="259"/>
      <c r="AQ10" s="271"/>
      <c r="AR10" s="272"/>
    </row>
    <row r="11">
      <c r="A11" s="273">
        <v>9.0</v>
      </c>
      <c r="B11" s="242" t="s">
        <v>59</v>
      </c>
      <c r="C11" s="244"/>
      <c r="D11" s="245"/>
      <c r="E11" s="245"/>
      <c r="F11" s="246">
        <v>0.0</v>
      </c>
      <c r="G11" s="267"/>
      <c r="H11" s="245"/>
      <c r="I11" s="245"/>
      <c r="J11" s="246">
        <v>0.0</v>
      </c>
      <c r="K11" s="244"/>
      <c r="L11" s="245"/>
      <c r="M11" s="245"/>
      <c r="N11" s="246">
        <v>0.0</v>
      </c>
      <c r="O11" s="244"/>
      <c r="P11" s="245"/>
      <c r="Q11" s="245"/>
      <c r="R11" s="268">
        <v>0.0</v>
      </c>
      <c r="S11" s="269">
        <v>0.0</v>
      </c>
      <c r="T11" s="248">
        <v>0.0</v>
      </c>
      <c r="U11" s="249">
        <v>0.0</v>
      </c>
      <c r="V11" s="207" t="s">
        <v>59</v>
      </c>
      <c r="W11" s="248">
        <v>0.0</v>
      </c>
      <c r="X11" s="245">
        <v>0.0</v>
      </c>
      <c r="Y11" s="9"/>
      <c r="Z11" s="9"/>
      <c r="AA11" s="40"/>
      <c r="AB11" s="270"/>
      <c r="AC11" s="270"/>
      <c r="AD11" s="259"/>
      <c r="AE11" s="40"/>
      <c r="AF11" s="270"/>
      <c r="AG11" s="270"/>
      <c r="AH11" s="259"/>
      <c r="AI11" s="40"/>
      <c r="AJ11" s="270"/>
      <c r="AK11" s="270"/>
      <c r="AL11" s="259"/>
      <c r="AM11" s="40"/>
      <c r="AN11" s="270"/>
      <c r="AO11" s="270"/>
      <c r="AP11" s="259"/>
      <c r="AQ11" s="271"/>
      <c r="AR11" s="272"/>
    </row>
    <row r="12">
      <c r="A12" s="273">
        <v>10.0</v>
      </c>
      <c r="B12" s="242" t="s">
        <v>59</v>
      </c>
      <c r="C12" s="244"/>
      <c r="D12" s="245"/>
      <c r="E12" s="245"/>
      <c r="F12" s="246">
        <v>0.0</v>
      </c>
      <c r="G12" s="267"/>
      <c r="H12" s="245"/>
      <c r="I12" s="245"/>
      <c r="J12" s="246">
        <v>0.0</v>
      </c>
      <c r="K12" s="244"/>
      <c r="L12" s="245"/>
      <c r="M12" s="245"/>
      <c r="N12" s="246">
        <v>0.0</v>
      </c>
      <c r="O12" s="244"/>
      <c r="P12" s="245"/>
      <c r="Q12" s="245"/>
      <c r="R12" s="268">
        <v>0.0</v>
      </c>
      <c r="S12" s="269">
        <v>0.0</v>
      </c>
      <c r="T12" s="248">
        <v>0.0</v>
      </c>
      <c r="U12" s="249">
        <v>0.0</v>
      </c>
      <c r="V12" s="207" t="s">
        <v>59</v>
      </c>
      <c r="W12" s="248">
        <v>0.0</v>
      </c>
      <c r="X12" s="245">
        <v>0.0</v>
      </c>
      <c r="Y12" s="9"/>
      <c r="Z12" s="9"/>
      <c r="AA12" s="40"/>
      <c r="AB12" s="270"/>
      <c r="AC12" s="270"/>
      <c r="AD12" s="259"/>
      <c r="AE12" s="40"/>
      <c r="AF12" s="270"/>
      <c r="AG12" s="270"/>
      <c r="AH12" s="259"/>
      <c r="AI12" s="40"/>
      <c r="AJ12" s="270"/>
      <c r="AK12" s="270"/>
      <c r="AL12" s="259"/>
      <c r="AM12" s="40"/>
      <c r="AN12" s="270"/>
      <c r="AO12" s="270"/>
      <c r="AP12" s="259"/>
      <c r="AQ12" s="271"/>
      <c r="AR12" s="272"/>
    </row>
    <row r="13">
      <c r="A13" s="273">
        <v>11.0</v>
      </c>
      <c r="B13" s="242" t="s">
        <v>59</v>
      </c>
      <c r="C13" s="244"/>
      <c r="D13" s="245"/>
      <c r="E13" s="245"/>
      <c r="F13" s="246">
        <v>0.0</v>
      </c>
      <c r="G13" s="267"/>
      <c r="H13" s="245"/>
      <c r="I13" s="245"/>
      <c r="J13" s="246">
        <v>0.0</v>
      </c>
      <c r="K13" s="244"/>
      <c r="L13" s="245"/>
      <c r="M13" s="245"/>
      <c r="N13" s="246">
        <v>0.0</v>
      </c>
      <c r="O13" s="244"/>
      <c r="P13" s="245"/>
      <c r="Q13" s="245"/>
      <c r="R13" s="268">
        <v>0.0</v>
      </c>
      <c r="S13" s="269">
        <v>0.0</v>
      </c>
      <c r="T13" s="248">
        <v>0.0</v>
      </c>
      <c r="U13" s="249">
        <v>0.0</v>
      </c>
      <c r="V13" s="207" t="s">
        <v>59</v>
      </c>
      <c r="W13" s="248">
        <v>0.0</v>
      </c>
      <c r="X13" s="245">
        <v>0.0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>
      <c r="A14" s="273">
        <v>12.0</v>
      </c>
      <c r="B14" s="242" t="s">
        <v>59</v>
      </c>
      <c r="C14" s="244"/>
      <c r="D14" s="245"/>
      <c r="E14" s="245"/>
      <c r="F14" s="246">
        <v>0.0</v>
      </c>
      <c r="G14" s="267"/>
      <c r="H14" s="245"/>
      <c r="I14" s="245"/>
      <c r="J14" s="246">
        <v>0.0</v>
      </c>
      <c r="K14" s="244"/>
      <c r="L14" s="245"/>
      <c r="M14" s="245"/>
      <c r="N14" s="246">
        <v>0.0</v>
      </c>
      <c r="O14" s="244"/>
      <c r="P14" s="245"/>
      <c r="Q14" s="245"/>
      <c r="R14" s="268">
        <v>0.0</v>
      </c>
      <c r="S14" s="269">
        <v>0.0</v>
      </c>
      <c r="T14" s="248">
        <v>0.0</v>
      </c>
      <c r="U14" s="249">
        <v>0.0</v>
      </c>
      <c r="V14" s="207" t="s">
        <v>59</v>
      </c>
      <c r="W14" s="248">
        <v>0.0</v>
      </c>
      <c r="X14" s="245">
        <v>0.0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18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18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182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25.14"/>
    <col customWidth="1" min="4" max="4" width="28.43"/>
    <col customWidth="1" min="5" max="5" width="24.0"/>
    <col customWidth="1" min="6" max="7" width="8.71"/>
    <col customWidth="1" min="8" max="8" width="10.14"/>
    <col customWidth="1" min="9" max="10" width="8.71"/>
    <col customWidth="1" min="11" max="11" width="10.86"/>
    <col customWidth="1" min="12" max="12" width="8.71"/>
    <col customWidth="1" min="13" max="13" width="14.14"/>
    <col customWidth="1" min="14" max="26" width="8.71"/>
  </cols>
  <sheetData>
    <row r="1">
      <c r="A1" s="179"/>
      <c r="B1" s="274" t="s">
        <v>60</v>
      </c>
      <c r="C1" s="179" t="s">
        <v>61</v>
      </c>
      <c r="D1" s="275" t="s">
        <v>62</v>
      </c>
      <c r="E1" s="17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>
      <c r="A2" s="9"/>
      <c r="B2" s="276"/>
      <c r="C2" s="179" t="s">
        <v>63</v>
      </c>
      <c r="D2" s="275" t="s">
        <v>64</v>
      </c>
      <c r="E2" s="17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>
      <c r="A3" s="9"/>
      <c r="C3" s="179"/>
      <c r="D3" s="27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>
      <c r="A4" s="9"/>
      <c r="B4" s="276" t="s">
        <v>65</v>
      </c>
      <c r="C4" s="179"/>
      <c r="D4" s="275" t="s">
        <v>66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s="9"/>
      <c r="B6" s="277" t="s">
        <v>67</v>
      </c>
      <c r="C6" s="278" t="s">
        <v>68</v>
      </c>
      <c r="D6" s="279"/>
      <c r="E6" s="279"/>
      <c r="F6" s="279"/>
      <c r="G6" s="279"/>
      <c r="H6" s="279"/>
      <c r="I6" s="279"/>
      <c r="J6" s="280"/>
      <c r="K6" s="9"/>
      <c r="L6" s="9"/>
      <c r="M6" s="9"/>
      <c r="N6" s="9"/>
      <c r="O6" s="9"/>
      <c r="P6" s="9"/>
      <c r="Q6" s="9"/>
      <c r="R6" s="9"/>
      <c r="S6" s="9"/>
    </row>
    <row r="7">
      <c r="A7" s="9"/>
      <c r="B7" s="281" t="s">
        <v>69</v>
      </c>
      <c r="C7" s="282" t="s">
        <v>70</v>
      </c>
      <c r="D7" s="9"/>
      <c r="E7" s="9"/>
      <c r="F7" s="9"/>
      <c r="G7" s="9"/>
      <c r="H7" s="9"/>
      <c r="I7" s="9"/>
      <c r="J7" s="283"/>
      <c r="K7" s="9"/>
      <c r="L7" s="9"/>
      <c r="M7" s="9"/>
      <c r="N7" s="9"/>
      <c r="O7" s="9"/>
      <c r="P7" s="9"/>
      <c r="Q7" s="9"/>
      <c r="R7" s="9"/>
      <c r="S7" s="9"/>
    </row>
    <row r="8">
      <c r="A8" s="9"/>
      <c r="B8" s="281" t="s">
        <v>71</v>
      </c>
      <c r="C8" s="282" t="s">
        <v>72</v>
      </c>
      <c r="D8" s="9"/>
      <c r="E8" s="9"/>
      <c r="F8" s="9"/>
      <c r="G8" s="9"/>
      <c r="H8" s="9"/>
      <c r="I8" s="9"/>
      <c r="J8" s="283"/>
      <c r="K8" s="9"/>
      <c r="L8" s="9"/>
      <c r="M8" s="9"/>
      <c r="N8" s="9"/>
      <c r="O8" s="9"/>
      <c r="P8" s="9"/>
      <c r="Q8" s="9"/>
      <c r="R8" s="9"/>
      <c r="S8" s="9"/>
    </row>
    <row r="9">
      <c r="A9" s="9"/>
      <c r="B9" s="281"/>
      <c r="C9" s="282"/>
      <c r="D9" s="9"/>
      <c r="E9" s="9"/>
      <c r="F9" s="9"/>
      <c r="G9" s="9"/>
      <c r="H9" s="9"/>
      <c r="I9" s="9"/>
      <c r="J9" s="283"/>
      <c r="K9" s="9"/>
      <c r="L9" s="9"/>
      <c r="M9" s="9"/>
      <c r="N9" s="9"/>
      <c r="O9" s="9"/>
      <c r="P9" s="9"/>
      <c r="Q9" s="9"/>
      <c r="R9" s="9"/>
      <c r="S9" s="9"/>
    </row>
    <row r="10">
      <c r="A10" s="9"/>
      <c r="B10" s="278" t="s">
        <v>73</v>
      </c>
      <c r="C10" s="279"/>
      <c r="D10" s="279"/>
      <c r="E10" s="279"/>
      <c r="F10" s="279"/>
      <c r="G10" s="279"/>
      <c r="H10" s="279"/>
      <c r="I10" s="279"/>
      <c r="J10" s="280"/>
      <c r="K10" s="9"/>
      <c r="L10" s="9"/>
      <c r="M10" s="9"/>
      <c r="N10" s="9"/>
      <c r="O10" s="9"/>
      <c r="P10" s="9"/>
      <c r="Q10" s="9"/>
      <c r="R10" s="9"/>
      <c r="S10" s="9"/>
    </row>
    <row r="11">
      <c r="A11" s="9"/>
      <c r="B11" s="282" t="s">
        <v>74</v>
      </c>
      <c r="C11" s="9"/>
      <c r="D11" s="9"/>
      <c r="E11" s="9"/>
      <c r="F11" s="9"/>
      <c r="G11" s="9"/>
      <c r="H11" s="9"/>
      <c r="I11" s="9"/>
      <c r="J11" s="283"/>
      <c r="K11" s="9"/>
      <c r="L11" s="9"/>
      <c r="M11" s="9"/>
      <c r="N11" s="9"/>
      <c r="O11" s="9"/>
      <c r="P11" s="9"/>
      <c r="Q11" s="9"/>
      <c r="R11" s="9"/>
      <c r="S11" s="9"/>
    </row>
    <row r="12">
      <c r="A12" s="9"/>
      <c r="B12" s="282" t="s">
        <v>75</v>
      </c>
      <c r="C12" s="9"/>
      <c r="D12" s="9"/>
      <c r="E12" s="9"/>
      <c r="F12" s="9"/>
      <c r="G12" s="9"/>
      <c r="H12" s="9"/>
      <c r="I12" s="9"/>
      <c r="J12" s="283"/>
      <c r="K12" s="9"/>
      <c r="L12" s="9"/>
      <c r="M12" s="9"/>
      <c r="N12" s="9"/>
      <c r="O12" s="9"/>
      <c r="P12" s="9"/>
      <c r="Q12" s="9"/>
      <c r="R12" s="9"/>
      <c r="S12" s="9"/>
    </row>
    <row r="13">
      <c r="A13" s="284"/>
      <c r="B13" s="282" t="s">
        <v>76</v>
      </c>
      <c r="C13" s="9"/>
      <c r="D13" s="9"/>
      <c r="E13" s="9"/>
      <c r="F13" s="9"/>
      <c r="G13" s="9"/>
      <c r="H13" s="9"/>
      <c r="I13" s="9"/>
      <c r="J13" s="283"/>
      <c r="K13" s="9"/>
      <c r="L13" s="9"/>
      <c r="M13" s="9"/>
      <c r="N13" s="9"/>
      <c r="O13" s="9"/>
      <c r="P13" s="9"/>
      <c r="Q13" s="9"/>
      <c r="R13" s="9"/>
      <c r="S13" s="9"/>
    </row>
    <row r="14">
      <c r="A14" s="9"/>
      <c r="B14" s="282" t="s">
        <v>77</v>
      </c>
      <c r="C14" s="9"/>
      <c r="D14" s="9"/>
      <c r="E14" s="9"/>
      <c r="F14" s="9"/>
      <c r="G14" s="9"/>
      <c r="H14" s="9"/>
      <c r="I14" s="9"/>
      <c r="J14" s="285"/>
      <c r="K14" s="9"/>
      <c r="L14" s="9"/>
      <c r="M14" s="9"/>
      <c r="N14" s="9"/>
      <c r="O14" s="9"/>
      <c r="P14" s="9"/>
      <c r="Q14" s="9"/>
      <c r="R14" s="9"/>
      <c r="S14" s="9"/>
    </row>
    <row r="15">
      <c r="A15" s="9"/>
      <c r="B15" s="282" t="s">
        <v>78</v>
      </c>
      <c r="C15" s="9"/>
      <c r="D15" s="9"/>
      <c r="E15" s="9"/>
      <c r="F15" s="9"/>
      <c r="G15" s="9"/>
      <c r="H15" s="9"/>
      <c r="I15" s="9"/>
      <c r="J15" s="283"/>
      <c r="K15" s="9"/>
      <c r="L15" s="9"/>
      <c r="M15" s="9"/>
      <c r="N15" s="9"/>
      <c r="O15" s="9"/>
      <c r="P15" s="9"/>
      <c r="Q15" s="9"/>
      <c r="R15" s="9"/>
      <c r="S15" s="9"/>
    </row>
    <row r="16">
      <c r="A16" s="9"/>
      <c r="B16" s="282" t="s">
        <v>79</v>
      </c>
      <c r="C16" s="9"/>
      <c r="D16" s="9"/>
      <c r="E16" s="9"/>
      <c r="F16" s="9"/>
      <c r="G16" s="9"/>
      <c r="H16" s="9"/>
      <c r="I16" s="9"/>
      <c r="J16" s="283"/>
      <c r="K16" s="9"/>
      <c r="L16" s="9"/>
      <c r="M16" s="9"/>
      <c r="N16" s="9"/>
      <c r="O16" s="9"/>
      <c r="P16" s="9"/>
      <c r="Q16" s="9"/>
      <c r="R16" s="9"/>
      <c r="S16" s="9"/>
    </row>
    <row r="17">
      <c r="A17" s="9"/>
      <c r="B17" s="286" t="s">
        <v>80</v>
      </c>
      <c r="C17" s="287"/>
      <c r="D17" s="287"/>
      <c r="E17" s="287"/>
      <c r="F17" s="287"/>
      <c r="G17" s="287"/>
      <c r="H17" s="288"/>
      <c r="I17" s="287"/>
      <c r="J17" s="289"/>
      <c r="K17" s="9"/>
      <c r="L17" s="9"/>
      <c r="M17" s="9"/>
      <c r="N17" s="9"/>
      <c r="O17" s="9"/>
      <c r="P17" s="9"/>
      <c r="Q17" s="9"/>
      <c r="R17" s="9"/>
      <c r="S17" s="9"/>
    </row>
    <row r="18">
      <c r="A18" s="9"/>
      <c r="B18" s="9"/>
      <c r="C18" s="9"/>
      <c r="D18" s="9"/>
      <c r="E18" s="9"/>
      <c r="F18" s="9"/>
      <c r="G18" s="9"/>
      <c r="H18" s="29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>
      <c r="A19" s="9"/>
      <c r="B19" s="9"/>
      <c r="C19" s="9" t="s">
        <v>81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>
      <c r="A20" s="9"/>
      <c r="B20" s="9"/>
      <c r="C20" s="9" t="s">
        <v>82</v>
      </c>
      <c r="D20" s="9"/>
      <c r="E20" s="9"/>
      <c r="F20" s="9"/>
      <c r="G20" s="9"/>
      <c r="H20" s="29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290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9"/>
      <c r="B24" s="179" t="s">
        <v>83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9"/>
      <c r="B25" s="9" t="s">
        <v>84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9"/>
      <c r="B26" s="9" t="s">
        <v>85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9"/>
      <c r="B27" s="9" t="s">
        <v>86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9"/>
      <c r="B28" s="9" t="s">
        <v>87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9"/>
      <c r="B29" s="9" t="s">
        <v>88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9"/>
      <c r="B33" s="9" t="s">
        <v>89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9"/>
      <c r="B34" s="291" t="s">
        <v>90</v>
      </c>
      <c r="C34" s="292" t="s">
        <v>91</v>
      </c>
      <c r="D34" s="292" t="s">
        <v>92</v>
      </c>
      <c r="E34" s="293" t="s">
        <v>93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9"/>
      <c r="B35" s="294" t="s">
        <v>94</v>
      </c>
      <c r="C35" s="295" t="s">
        <v>95</v>
      </c>
      <c r="D35" s="295" t="s">
        <v>96</v>
      </c>
      <c r="E35" s="296" t="s">
        <v>97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3"/>
  </mergeCells>
  <hyperlinks>
    <hyperlink r:id="rId1" ref="D1"/>
    <hyperlink r:id="rId2" ref="D2"/>
    <hyperlink r:id="rId3" ref="D4"/>
  </hyperlinks>
  <printOptions/>
  <pageMargins bottom="0.75" footer="0.0" header="0.0" left="0.7" right="0.7" top="0.75"/>
  <pageSetup paperSize="9" orientation="portrait"/>
  <drawing r:id="rId4"/>
</worksheet>
</file>